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Keyword Master List" sheetId="2" state="visible" r:id="rId4"/>
    <sheet name="NLP and Intent Analysis" sheetId="3" state="visible" r:id="rId5"/>
    <sheet name="Market Stats and Facts" sheetId="4" state="visible" r:id="rId6"/>
    <sheet name="Content Recommendation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<sst xmlns="http://schemas.openxmlformats.org/spreadsheetml/2006/main" count="1136" uniqueCount="331">
  <si>
    <t xml:space="preserve">SM Gold Sargodha — Keyword Research &amp; SEO Analysis</t>
  </si>
  <si>
    <t xml:space="preserve">Prepared for: smgold.sargodha.pk  |  Niche: Gold jewellery / goldsmith  |  Market: Sargodha, Punjab, Pakistan</t>
  </si>
  <si>
    <t xml:space="preserve">How to use this workbook</t>
  </si>
  <si>
    <t xml:space="preserve">1. Keyword Master List</t>
  </si>
  <si>
    <t xml:space="preserve">108 keywords — 10 you provided + 98 expanded — each tagged with category, search intent, location level, language, estimated monthly volume tier, competition, priority and the exact page on your site it should target.</t>
  </si>
  <si>
    <t xml:space="preserve">2. NLP &amp; Intent Analysis</t>
  </si>
  <si>
    <t xml:space="preserve">Automatic breakdown (live formulas, recalculates if you edit the Master List) of search intent distribution, category mix, language mix, and priority mix — the semantic structure behind the keyword list.</t>
  </si>
  <si>
    <t xml:space="preserve">3. Market Stats &amp; Facts</t>
  </si>
  <si>
    <t xml:space="preserve">Real, sourced statistics on Pakistan's gold and jewellery market, local search behaviour, and Sargodha's population — context for why these keywords matter and roughly how big the opportunity is.</t>
  </si>
  <si>
    <t xml:space="preserve">4. Content Recommendations</t>
  </si>
  <si>
    <t xml:space="preserve">Which keyword clusters your current 15 pages already cover, and where a dedicated new page (e.g. Bangles, Rings, Earrings) would let you rank for more of these terms.</t>
  </si>
  <si>
    <t xml:space="preserve">Methodology note</t>
  </si>
  <si>
    <t xml:space="preserve">Search volumes</t>
  </si>
  <si>
    <t xml:space="preserve">Pakistan lacks free public keyword-volume data (Google Keyword Planner requires an active ad spend account; Ahrefs/SEMrush require paid licences neither of which were available in this session). Volume Tier and Competition columns are therefore directional estimates built from: (a) real Pakistani gold-rate site traffic patterns found in research below, (b) general search-behaviour statistics for Pakistan, and (c) standard keyword-research heuristics (broad national terms &gt; local/long-tail terms in volume; local/long-tail terms are far less competitive). Treat tiers as "relative to each other", not as guaranteed absolute monthly searches. For exact numbers, connect this keyword list to Google Search Console after launch, or run it through Google Keyword Planner / Ubersuggest once you have a few weeks of data.</t>
  </si>
  <si>
    <t xml:space="preserve">#</t>
  </si>
  <si>
    <t xml:space="preserve">Keyword</t>
  </si>
  <si>
    <t xml:space="preserve">Source</t>
  </si>
  <si>
    <t xml:space="preserve">Category</t>
  </si>
  <si>
    <t xml:space="preserve">Search Intent</t>
  </si>
  <si>
    <t xml:space="preserve">Location Level</t>
  </si>
  <si>
    <t xml:space="preserve">Language</t>
  </si>
  <si>
    <t xml:space="preserve">Est. Volume Tier</t>
  </si>
  <si>
    <t xml:space="preserve">Competition</t>
  </si>
  <si>
    <t xml:space="preserve">Priority</t>
  </si>
  <si>
    <t xml:space="preserve">Recommended Target Page</t>
  </si>
  <si>
    <t xml:space="preserve">sm gold</t>
  </si>
  <si>
    <t xml:space="preserve">Seed</t>
  </si>
  <si>
    <t xml:space="preserve">Brand</t>
  </si>
  <si>
    <t xml:space="preserve">Navigational</t>
  </si>
  <si>
    <t xml:space="preserve">City - Sargodha</t>
  </si>
  <si>
    <t xml:space="preserve">English</t>
  </si>
  <si>
    <t xml:space="preserve">Medium</t>
  </si>
  <si>
    <t xml:space="preserve">Low</t>
  </si>
  <si>
    <t xml:space="preserve">index.html (Home)</t>
  </si>
  <si>
    <t xml:space="preserve">bangle</t>
  </si>
  <si>
    <t xml:space="preserve">Product - Bangles</t>
  </si>
  <si>
    <t xml:space="preserve">Commercial Investigation</t>
  </si>
  <si>
    <t xml:space="preserve">Generic</t>
  </si>
  <si>
    <t xml:space="preserve">High</t>
  </si>
  <si>
    <t xml:space="preserve">daily-wear-collection.html</t>
  </si>
  <si>
    <t xml:space="preserve">bangles shop near me</t>
  </si>
  <si>
    <t xml:space="preserve">Local</t>
  </si>
  <si>
    <t xml:space="preserve">contact.html</t>
  </si>
  <si>
    <t xml:space="preserve">beautiful jewellery</t>
  </si>
  <si>
    <t xml:space="preserve">Product - General</t>
  </si>
  <si>
    <t xml:space="preserve">gallery.html</t>
  </si>
  <si>
    <t xml:space="preserve">diamond ring</t>
  </si>
  <si>
    <t xml:space="preserve">Product - Rings</t>
  </si>
  <si>
    <t xml:space="preserve">Very High</t>
  </si>
  <si>
    <t xml:space="preserve">New: Rings page</t>
  </si>
  <si>
    <t xml:space="preserve">earrings</t>
  </si>
  <si>
    <t xml:space="preserve">Product - Earrings</t>
  </si>
  <si>
    <t xml:space="preserve">New: Earrings page</t>
  </si>
  <si>
    <t xml:space="preserve">earrings design</t>
  </si>
  <si>
    <t xml:space="preserve">earrings gold</t>
  </si>
  <si>
    <t xml:space="preserve">emerald bracelet</t>
  </si>
  <si>
    <t xml:space="preserve">Product - Bracelets</t>
  </si>
  <si>
    <t xml:space="preserve">New: Gemstone/Bracelets page</t>
  </si>
  <si>
    <t xml:space="preserve">gold</t>
  </si>
  <si>
    <t xml:space="preserve">Informational</t>
  </si>
  <si>
    <t xml:space="preserve">National</t>
  </si>
  <si>
    <t xml:space="preserve">gold-rate.html</t>
  </si>
  <si>
    <t xml:space="preserve">sm gold sargodha</t>
  </si>
  <si>
    <t xml:space="preserve">Expanded</t>
  </si>
  <si>
    <t xml:space="preserve">sm gold shamsheer town</t>
  </si>
  <si>
    <t xml:space="preserve">Hyperlocal</t>
  </si>
  <si>
    <t xml:space="preserve">sm gold jewellers</t>
  </si>
  <si>
    <t xml:space="preserve">sm gold gold rate</t>
  </si>
  <si>
    <t xml:space="preserve">sm gold contact number</t>
  </si>
  <si>
    <t xml:space="preserve">sm gold whatsapp</t>
  </si>
  <si>
    <t xml:space="preserve">gold shop near me</t>
  </si>
  <si>
    <t xml:space="preserve">index.html / contact.html</t>
  </si>
  <si>
    <t xml:space="preserve">jewellery shop near me</t>
  </si>
  <si>
    <t xml:space="preserve">goldsmith near me</t>
  </si>
  <si>
    <t xml:space="preserve">about.html</t>
  </si>
  <si>
    <t xml:space="preserve">jewellers near me sargodha</t>
  </si>
  <si>
    <t xml:space="preserve">gold shop in sargodha</t>
  </si>
  <si>
    <t xml:space="preserve">best jewellery shop in sargodha</t>
  </si>
  <si>
    <t xml:space="preserve">gold shop shamsheer town sargodha</t>
  </si>
  <si>
    <t xml:space="preserve">trusted goldsmith sargodha</t>
  </si>
  <si>
    <t xml:space="preserve">sunar near me</t>
  </si>
  <si>
    <t xml:space="preserve">Roman Urdu</t>
  </si>
  <si>
    <t xml:space="preserve">sarafa bazar sargodha</t>
  </si>
  <si>
    <t xml:space="preserve">jewellery market sargodha</t>
  </si>
  <si>
    <t xml:space="preserve">gold shop punjab</t>
  </si>
  <si>
    <t xml:space="preserve">Provincial - Punjab</t>
  </si>
  <si>
    <t xml:space="preserve">gold shop sargodha whatsapp order</t>
  </si>
  <si>
    <t xml:space="preserve">Transactional</t>
  </si>
  <si>
    <t xml:space="preserve">gold rate today pakistan</t>
  </si>
  <si>
    <t xml:space="preserve">Gold Rate</t>
  </si>
  <si>
    <t xml:space="preserve">gold rate today sargodha</t>
  </si>
  <si>
    <t xml:space="preserve">24k gold rate pakistan</t>
  </si>
  <si>
    <t xml:space="preserve">22k gold rate pakistan</t>
  </si>
  <si>
    <t xml:space="preserve">21k gold rate pakistan</t>
  </si>
  <si>
    <t xml:space="preserve">18k gold rate pakistan</t>
  </si>
  <si>
    <t xml:space="preserve">aaj ka sona rate</t>
  </si>
  <si>
    <t xml:space="preserve">sona rate pakistan</t>
  </si>
  <si>
    <t xml:space="preserve">gold price per tola pakistan</t>
  </si>
  <si>
    <t xml:space="preserve">gold price per gram pakistan today</t>
  </si>
  <si>
    <t xml:space="preserve">gold rate sargodha per tola</t>
  </si>
  <si>
    <t xml:space="preserve">what is the gold rate today in pakistan</t>
  </si>
  <si>
    <t xml:space="preserve">gold bangles design</t>
  </si>
  <si>
    <t xml:space="preserve">New: Bangles page</t>
  </si>
  <si>
    <t xml:space="preserve">gold bangles set</t>
  </si>
  <si>
    <t xml:space="preserve">bangles design 2026</t>
  </si>
  <si>
    <t xml:space="preserve">kara bangles gold</t>
  </si>
  <si>
    <t xml:space="preserve">churi design gold</t>
  </si>
  <si>
    <t xml:space="preserve">bridal bangles set pakistan</t>
  </si>
  <si>
    <t xml:space="preserve">bridal-gold-sets.html</t>
  </si>
  <si>
    <t xml:space="preserve">22k gold bangles</t>
  </si>
  <si>
    <t xml:space="preserve">diamond ring price pakistan</t>
  </si>
  <si>
    <t xml:space="preserve">diamond engagement ring</t>
  </si>
  <si>
    <t xml:space="preserve">custom-jewelry-making.html</t>
  </si>
  <si>
    <t xml:space="preserve">gold ring design for female</t>
  </si>
  <si>
    <t xml:space="preserve">mens gold ring design</t>
  </si>
  <si>
    <t xml:space="preserve">gold engagement ring pakistan</t>
  </si>
  <si>
    <t xml:space="preserve">wedding ring design gold</t>
  </si>
  <si>
    <t xml:space="preserve">gold ring price today</t>
  </si>
  <si>
    <t xml:space="preserve">gold earrings design</t>
  </si>
  <si>
    <t xml:space="preserve">jhumka earrings gold</t>
  </si>
  <si>
    <t xml:space="preserve">earrings design for wedding</t>
  </si>
  <si>
    <t xml:space="preserve">gold stud earrings</t>
  </si>
  <si>
    <t xml:space="preserve">long earrings design gold</t>
  </si>
  <si>
    <t xml:space="preserve">simple gold earrings daily wear</t>
  </si>
  <si>
    <t xml:space="preserve">emerald bracelet price</t>
  </si>
  <si>
    <t xml:space="preserve">emerald jewellery pakistan</t>
  </si>
  <si>
    <t xml:space="preserve">gold bracelet design</t>
  </si>
  <si>
    <t xml:space="preserve">emerald and gold bracelet</t>
  </si>
  <si>
    <t xml:space="preserve">panna stone jewellery</t>
  </si>
  <si>
    <t xml:space="preserve">beautiful jewellery design</t>
  </si>
  <si>
    <t xml:space="preserve">gold jewellery design</t>
  </si>
  <si>
    <t xml:space="preserve">pure gold jewellery pakistan</t>
  </si>
  <si>
    <t xml:space="preserve">21k gold jewellery</t>
  </si>
  <si>
    <t xml:space="preserve">22k gold jewellery</t>
  </si>
  <si>
    <t xml:space="preserve">gold necklace design</t>
  </si>
  <si>
    <t xml:space="preserve">Product - Necklaces</t>
  </si>
  <si>
    <t xml:space="preserve">New: Necklaces page</t>
  </si>
  <si>
    <t xml:space="preserve">gold set design</t>
  </si>
  <si>
    <t xml:space="preserve">gold pendant design</t>
  </si>
  <si>
    <t xml:space="preserve">gold chain design</t>
  </si>
  <si>
    <t xml:space="preserve">gold locket design</t>
  </si>
  <si>
    <t xml:space="preserve">name pendant gold</t>
  </si>
  <si>
    <t xml:space="preserve">bridal gold set</t>
  </si>
  <si>
    <t xml:space="preserve">Bridal - Wedding</t>
  </si>
  <si>
    <t xml:space="preserve">bridal jewellery sargodha</t>
  </si>
  <si>
    <t xml:space="preserve">wedding jewellery pakistan</t>
  </si>
  <si>
    <t xml:space="preserve">pakistani bridal set gold</t>
  </si>
  <si>
    <t xml:space="preserve">dulhan jewellery set</t>
  </si>
  <si>
    <t xml:space="preserve">7 piece bridal set gold</t>
  </si>
  <si>
    <t xml:space="preserve">walima jewellery set</t>
  </si>
  <si>
    <t xml:space="preserve">barat jewellery gold</t>
  </si>
  <si>
    <t xml:space="preserve">custom gold jewellery pakistan</t>
  </si>
  <si>
    <t xml:space="preserve">Service - Custom</t>
  </si>
  <si>
    <t xml:space="preserve">custom jewellery design sargodha</t>
  </si>
  <si>
    <t xml:space="preserve">gold jewellery repair near me</t>
  </si>
  <si>
    <t xml:space="preserve">Service - Repair</t>
  </si>
  <si>
    <t xml:space="preserve">gold-polishing-repair.html</t>
  </si>
  <si>
    <t xml:space="preserve">gold polishing near me</t>
  </si>
  <si>
    <t xml:space="preserve">sell old gold sargodha</t>
  </si>
  <si>
    <t xml:space="preserve">gold exchange sargodha</t>
  </si>
  <si>
    <t xml:space="preserve">jewellery on installment pakistan</t>
  </si>
  <si>
    <t xml:space="preserve">services.html</t>
  </si>
  <si>
    <t xml:space="preserve">old gold jewellery cleaning</t>
  </si>
  <si>
    <t xml:space="preserve">how to check gold purity</t>
  </si>
  <si>
    <t xml:space="preserve">Purity - Education</t>
  </si>
  <si>
    <t xml:space="preserve">gold-rate.html / faq.html</t>
  </si>
  <si>
    <t xml:space="preserve">is 21k or 22k gold better</t>
  </si>
  <si>
    <t xml:space="preserve">24k vs 22k gold difference</t>
  </si>
  <si>
    <t xml:space="preserve">how much gold for bridal set</t>
  </si>
  <si>
    <t xml:space="preserve">gold purity certificate pakistan</t>
  </si>
  <si>
    <t xml:space="preserve">difference between 18k and 21k gold</t>
  </si>
  <si>
    <t xml:space="preserve">Priority 1 (highlighted) = best mix of realistic ranking chance + business relevance. Priority 2 = worth targeting once Priority 1 pages are strong. Priority 3 = very high competition national terms — long-term goal, not a launch priority.</t>
  </si>
  <si>
    <t xml:space="preserve">NLP &amp; Search-Intent Analysis of the Keyword Master List</t>
  </si>
  <si>
    <t xml:space="preserve">All figures below are live formulas pulling from the "Keyword Master List" sheet — edit that sheet and these numbers update automatically.</t>
  </si>
  <si>
    <t xml:space="preserve">1. Search intent distribution</t>
  </si>
  <si>
    <t xml:space="preserve">Intent</t>
  </si>
  <si>
    <t xml:space="preserve">Count</t>
  </si>
  <si>
    <t xml:space="preserve">% of total</t>
  </si>
  <si>
    <t xml:space="preserve">What it means</t>
  </si>
  <si>
    <t xml:space="preserve">People researching gold rates, purity, or general info — not ready to buy yet, but this is where trust and discoverability are built (and where 'gold rate today' traffic lives).</t>
  </si>
  <si>
    <t xml:space="preserve">People comparing designs, styles and prices before choosing where to buy — your product/gallery pages should win these.</t>
  </si>
  <si>
    <t xml:space="preserve">People ready to act now — repair, custom order, sell/exchange gold. Highest intent to contact you directly.</t>
  </si>
  <si>
    <t xml:space="preserve">People searching with 'near me' or a place name — the single best-converting category (76% visit a business within 24 hours of a near-me search).</t>
  </si>
  <si>
    <t xml:space="preserve">People already looking specifically for SM Gold by name — protect this with consistent NAP (Name/Address/Phone) and your Google Business Profile.</t>
  </si>
  <si>
    <t xml:space="preserve">2. Semantic clusters (keyword categories)</t>
  </si>
  <si>
    <t xml:space="preserve">Primary site page</t>
  </si>
  <si>
    <t xml:space="preserve">contact.html / index.html</t>
  </si>
  <si>
    <t xml:space="preserve">daily-wear-collection.html (new Bangles page recommended)</t>
  </si>
  <si>
    <t xml:space="preserve">custom-jewelry-making.html (new Rings page recommended)</t>
  </si>
  <si>
    <t xml:space="preserve">daily-wear-collection.html (new Earrings page recommended)</t>
  </si>
  <si>
    <t xml:space="preserve">daily-wear-collection.html (new Gemstone page recommended)</t>
  </si>
  <si>
    <t xml:space="preserve">daily-wear-collection.html (new Necklaces page recommended)</t>
  </si>
  <si>
    <t xml:space="preserve">3. Language mix (English vs Roman Urdu)</t>
  </si>
  <si>
    <t xml:space="preserve">Note</t>
  </si>
  <si>
    <t xml:space="preserve">Standard SEO-optimized copy — already your site's primary language.</t>
  </si>
  <si>
    <t xml:space="preserve">Terms like 'sona rate', 'sunar', 'jhumka', 'dulhan' — real local search behaviour. Weaving a few of these naturally into page copy/FAQs (without abandoning English) can capture searches competitors ignore.</t>
  </si>
  <si>
    <t xml:space="preserve">4. Location specificity (entity extraction: place names)</t>
  </si>
  <si>
    <t xml:space="preserve">Location level</t>
  </si>
  <si>
    <t xml:space="preserve">Shamsheer Town-level — near-zero competition, easiest wins.</t>
  </si>
  <si>
    <t xml:space="preserve">City-level — low competition, strong local buyer intent.</t>
  </si>
  <si>
    <t xml:space="preserve">Province-wide — much higher competition, longer-term target.</t>
  </si>
  <si>
    <t xml:space="preserve">Pakistan-wide — highest volume, highest competition (mostly the 'gold rate' terms).</t>
  </si>
  <si>
    <t xml:space="preserve">No place name in the query, but still winnable via on-page local signals (NAP, schema, reviews).</t>
  </si>
  <si>
    <t xml:space="preserve">5. Launch priority mix</t>
  </si>
  <si>
    <t xml:space="preserve">Action</t>
  </si>
  <si>
    <t xml:space="preserve">Target first — write or strengthen page copy, headings and FAQs around these.</t>
  </si>
  <si>
    <t xml:space="preserve">Target next — natural extensions once Priority 1 pages are performing.</t>
  </si>
  <si>
    <t xml:space="preserve">Long-term / stretch — very high competition or too broad to rank for quickly; keep an eye on rather than chase.</t>
  </si>
  <si>
    <t xml:space="preserve">6. Most frequent entities inside the keywords (word-level)</t>
  </si>
  <si>
    <t xml:space="preserve">Entity / term</t>
  </si>
  <si>
    <t xml:space="preserve">Appears in # keywords</t>
  </si>
  <si>
    <t xml:space="preserve">Entity type</t>
  </si>
  <si>
    <t xml:space="preserve">Material</t>
  </si>
  <si>
    <t xml:space="preserve">design</t>
  </si>
  <si>
    <t xml:space="preserve">Attribute</t>
  </si>
  <si>
    <t xml:space="preserve">sargodha</t>
  </si>
  <si>
    <t xml:space="preserve">Location</t>
  </si>
  <si>
    <t xml:space="preserve">near me</t>
  </si>
  <si>
    <t xml:space="preserve">see note</t>
  </si>
  <si>
    <t xml:space="preserve">Local-intent phrase</t>
  </si>
  <si>
    <t xml:space="preserve">rate</t>
  </si>
  <si>
    <t xml:space="preserve">Price/informational signal</t>
  </si>
  <si>
    <t xml:space="preserve">bridal / wedding</t>
  </si>
  <si>
    <t xml:space="preserve">Occasion</t>
  </si>
  <si>
    <t xml:space="preserve">22k / 21k / 24k / 18k</t>
  </si>
  <si>
    <t xml:space="preserve">Purity/karat</t>
  </si>
  <si>
    <t xml:space="preserve">Product type</t>
  </si>
  <si>
    <t xml:space="preserve">bangles</t>
  </si>
  <si>
    <t xml:space="preserve">ring</t>
  </si>
  <si>
    <t xml:space="preserve">Entity-type framework used above follows standard NLP query analysis: Brand, Location (Hyperlocal/City/Provincial/National), Product type, Attribute (design/beautiful/pure), Material/Purity (karat), Occasion (bridal/wedding), Service (repair/custom/exchange), and Temporal signal (today/2026) — the same entity classes a search engine's NLP layer extracts from a query to match it to relevant pages.</t>
  </si>
  <si>
    <t xml:space="preserve">Market Stats &amp; Facts — Context for the Keyword Strategy</t>
  </si>
  <si>
    <t xml:space="preserve">All figures below are from public sources found via live web search; each row cites where it came from.</t>
  </si>
  <si>
    <t xml:space="preserve">Stat</t>
  </si>
  <si>
    <t xml:space="preserve">Figure</t>
  </si>
  <si>
    <t xml:space="preserve">Relevance to SM Gold</t>
  </si>
  <si>
    <t xml:space="preserve">Sargodha district population (2023 census)</t>
  </si>
  <si>
    <t xml:space="preserve">4,334,448 people (2,194,156 male / 2,139,911 female); 37.1% urban, 62.9% rural; growing ~2.70%/year</t>
  </si>
  <si>
    <t xml:space="preserve">This is your addressable local market size for 'near me' and city-name searches — a district of over 4.3 million people, still growing.</t>
  </si>
  <si>
    <t xml:space="preserve">Pakistan Bureau of Statistics, 2023 census (via pakinformation.com)</t>
  </si>
  <si>
    <t xml:space="preserve">Pakistan jewellery market revenue (2024)</t>
  </si>
  <si>
    <t xml:space="preserve">US $1.33 billion, projected to grow ~2.18%/year through 2028</t>
  </si>
  <si>
    <t xml:space="preserve">Confirms steady, growing national demand for jewellery — the market SM Gold's gold-rate and product pages are competing in.</t>
  </si>
  <si>
    <t xml:space="preserve">Statista Market Forecast — Jewelry Pakistan</t>
  </si>
  <si>
    <t xml:space="preserve">Pakistan jewellery gold demand</t>
  </si>
  <si>
    <t xml:space="preserve">17.5 tonnes in 2024, 15.8 tonnes in 2025 (-10% YoY) as gold prices rose</t>
  </si>
  <si>
    <t xml:space="preserve">Rising gold prices are pushing some buyers toward smaller/lighter pieces and daily-wear designs rather than heavy sets — supports promoting your Daily Wear Collection and transparent daily rate updates.</t>
  </si>
  <si>
    <t xml:space="preserve">World Gold Council, Gold Demand Trends</t>
  </si>
  <si>
    <t xml:space="preserve">Pakistan gold bar &amp; coin demand</t>
  </si>
  <si>
    <t xml:space="preserve">19.0 tonnes in 2024, 19.4 tonnes in 2025 (+2% YoY)</t>
  </si>
  <si>
    <t xml:space="preserve">Investment-driven gold buying is holding steady even as jewellery demand softens — an opening to mention bullion/coin availability if you offer it.</t>
  </si>
  <si>
    <t xml:space="preserve">Gold price trend</t>
  </si>
  <si>
    <t xml:space="preserve">Gold hit a record run of new highs in 2025-2026 (Pakistan 24K around Rs 424,000-428,000/tola in July 2026)</t>
  </si>
  <si>
    <t xml:space="preserve">Explains why 'gold rate today' is such a heavily and repeatedly searched query — a daily-updated rate page is a genuine competitive advantage, not just a nice-to-have.</t>
  </si>
  <si>
    <t xml:space="preserve">UrduPoint / Business Recorder / PolicyBazaar gold rate pages</t>
  </si>
  <si>
    <t xml:space="preserve">Wedding season jewellery spend shift</t>
  </si>
  <si>
    <t xml:space="preserve">Rising prices are pushing some families toward gold-plated/imitation bridal sets (Rs 40,000-60,000) instead of solid gold (which can run into the hundreds of thousands)</t>
  </si>
  <si>
    <t xml:space="preserve">Real gold, fair pricing and a purity guarantee is a stronger trust pitch than ever while competitors' imitation-jewellery messaging grows — lean into '100% Pure Gold Guaranteed' across bridal content.</t>
  </si>
  <si>
    <t xml:space="preserve">Al Jazeera; Shehnai.pk wedding cost guide</t>
  </si>
  <si>
    <t xml:space="preserve">Local wedding market size (regional)</t>
  </si>
  <si>
    <t xml:space="preserve">One Karachi wedding season alone was estimated at Rs 33 billion</t>
  </si>
  <si>
    <t xml:space="preserve">Illustrates how large occasion-driven jewellery spending is nationally — Sargodha's own wedding season is a meaningful, recurring local revenue driver worth seasonal campaigns around.</t>
  </si>
  <si>
    <t xml:space="preserve">Dawn News, 'Wedding economy' report</t>
  </si>
  <si>
    <t xml:space="preserve">Pakistan internet users (2025)</t>
  </si>
  <si>
    <t xml:space="preserve">117 million people online, 45.6% penetration</t>
  </si>
  <si>
    <t xml:space="preserve">Just under half the country is online — still room to grow but already a large enough base that a well-optimized website is worth the investment.</t>
  </si>
  <si>
    <t xml:space="preserve">DataReportal, Digital 2026: Pakistan</t>
  </si>
  <si>
    <t xml:space="preserve">Pakistan social media users (2025)</t>
  </si>
  <si>
    <t xml:space="preserve">79.9 million (31.2% of population); Facebook 67.5M, Messenger 54.2M, Instagram 23.5M</t>
  </si>
  <si>
    <t xml:space="preserve">Facebook/Messenger and Instagram remain the biggest channels to pair with your website and WhatsApp — worth cross-linking your site's WhatsApp CTA to these platforms.</t>
  </si>
  <si>
    <t xml:space="preserve">DataReportal / NapoleonCat, 2025</t>
  </si>
  <si>
    <t xml:space="preserve">'Near me' search growth</t>
  </si>
  <si>
    <t xml:space="preserve">900% growth over two years; ~800 million 'near me' searches/month (US data, directionally global)</t>
  </si>
  <si>
    <t xml:space="preserve">Confirms 'near me' and hyperlocal terms (bangles shop near me, goldsmith near me, gold shop near me) are a fast-growing, high-value category worth prioritizing.</t>
  </si>
  <si>
    <t xml:space="preserve">Google/industry local-search research (via BizIQ, HubSpot)</t>
  </si>
  <si>
    <t xml:space="preserve">Local search intent share</t>
  </si>
  <si>
    <t xml:space="preserve">46% of all Google searches now have local intent (up from 30% in 2019)</t>
  </si>
  <si>
    <t xml:space="preserve">Nearly half of all searches are local — reinforces investing in city/hyperlocal keyword variants, not just national 'gold jewellery' terms.</t>
  </si>
  <si>
    <t xml:space="preserve">Local SEO research (Hennessey Digital, BizIQ)</t>
  </si>
  <si>
    <t xml:space="preserve">Mobile share of 'near me' searches</t>
  </si>
  <si>
    <t xml:space="preserve">88% of 'near me' searches happen on mobile; 82% of smartphone users search 'near me'</t>
  </si>
  <si>
    <t xml:space="preserve">Confirms your site's mobile responsiveness and the mobile sticky Call/WhatsApp bar are the right investment for capturing local searchers.</t>
  </si>
  <si>
    <t xml:space="preserve">Local SEO research aggregation, 2026</t>
  </si>
  <si>
    <t xml:space="preserve">Local search-to-visit conversion</t>
  </si>
  <si>
    <t xml:space="preserve">76% of near-me mobile searchers visit a business within 24 hours; 78% of local mobile searches lead to an offline purchase</t>
  </si>
  <si>
    <t xml:space="preserve">The single strongest argument for prioritizing hyperlocal keywords over broad national ones — they convert into real shop visits fastest.</t>
  </si>
  <si>
    <t xml:space="preserve">Content Recommendations — Coverage vs. Gaps</t>
  </si>
  <si>
    <t xml:space="preserve">How the 99 keywords map onto your current 15 pages, and where a new page would unlock more of them.</t>
  </si>
  <si>
    <t xml:space="preserve">A. Well covered by your current pages</t>
  </si>
  <si>
    <t xml:space="preserve">Page</t>
  </si>
  <si>
    <t xml:space="preserve">Keyword clusters it already targets</t>
  </si>
  <si>
    <t xml:space="preserve">Status</t>
  </si>
  <si>
    <t xml:space="preserve">Gold Rate cluster (24K/22K/21K/18K, 'today', Sargodha rate, Roman Urdu 'sona rate'), Purity/Education cluster</t>
  </si>
  <si>
    <t xml:space="preserve">Strong — already the dedicated page these ~18 keywords need</t>
  </si>
  <si>
    <t xml:space="preserve">Bridal - Wedding cluster (bridal set, dulhan, walima, Pakistani bridal set, 7-piece set)</t>
  </si>
  <si>
    <t xml:space="preserve">Strong — matches this cluster well</t>
  </si>
  <si>
    <t xml:space="preserve">Service - Custom cluster, part of Product - Rings cluster (engagement/mens rings)</t>
  </si>
  <si>
    <t xml:space="preserve">Good — could add ring-specific copy</t>
  </si>
  <si>
    <t xml:space="preserve">Service - Repair cluster (repair, polishing, exchange, cleaning)</t>
  </si>
  <si>
    <t xml:space="preserve">Product - General/Bangles/Earrings/Necklaces long-tail terms, currently grouped together</t>
  </si>
  <si>
    <t xml:space="preserve">Partial — covers the terms but not each as its own ranking target</t>
  </si>
  <si>
    <t xml:space="preserve">about.html / contact.html</t>
  </si>
  <si>
    <t xml:space="preserve">Local cluster (near me, goldsmith, trusted, jewellers near me Sargodha), Brand cluster</t>
  </si>
  <si>
    <t xml:space="preserve">Strong — good NAP consistency, keep it that way</t>
  </si>
  <si>
    <t xml:space="preserve">Product - General ('beautiful jewellery design', 'gold jewellery design')</t>
  </si>
  <si>
    <t xml:space="preserve">Good — add descriptive alt text/captions using these exact phrases</t>
  </si>
  <si>
    <t xml:space="preserve">B. Gaps — keywords with no dedicated page yet</t>
  </si>
  <si>
    <t xml:space="preserve">Suggested new page</t>
  </si>
  <si>
    <t xml:space="preserve">Keywords it would target</t>
  </si>
  <si>
    <t xml:space="preserve">Why it's worth it</t>
  </si>
  <si>
    <t xml:space="preserve">Bangles (gold-bangles.html)</t>
  </si>
  <si>
    <t xml:space="preserve">gold bangles design, gold bangles set, bangles design 2026, kara/churi bangles, bridal bangles set, 22k gold bangles, bangles shop near me</t>
  </si>
  <si>
    <t xml:space="preserve">"bangle" and "bangles shop near me" were two of your original 10 seed keywords — this is the single highest-value gap.</t>
  </si>
  <si>
    <t xml:space="preserve">Earrings (gold-earrings.html)</t>
  </si>
  <si>
    <t xml:space="preserve">earrings, earrings design, earrings gold, gold earrings design, jhumka earrings, stud earrings, wedding earrings</t>
  </si>
  <si>
    <t xml:space="preserve">Three of your seed keywords are earrings-related — currently these all point at one shared section of Daily Wear Collection instead of their own page.</t>
  </si>
  <si>
    <t xml:space="preserve">Rings (gold-rings.html)</t>
  </si>
  <si>
    <t xml:space="preserve">diamond ring, diamond ring price Pakistan, gold ring design for female, mens gold ring, engagement ring Pakistan</t>
  </si>
  <si>
    <t xml:space="preserve">"Diamond ring" was a seed keyword and is high-volume — currently only loosely covered by Custom Jewelry Making.</t>
  </si>
  <si>
    <t xml:space="preserve">Gemstone / Bracelets (gemstone-jewellery.html)</t>
  </si>
  <si>
    <t xml:space="preserve">emerald bracelet, emerald bracelet price, emerald jewellery Pakistan, gold bracelet design, panna stone jewellery</t>
  </si>
  <si>
    <t xml:space="preserve">"Emerald bracelet" was a seed keyword with no real home on the current site — low competition, easy first-page opportunity.</t>
  </si>
  <si>
    <t xml:space="preserve">Necklaces (gold-necklaces.html)</t>
  </si>
  <si>
    <t xml:space="preserve">gold necklace design, gold set design, gold pendant design, gold chain design, name pendant</t>
  </si>
  <si>
    <t xml:space="preserve">Necklaces are currently folded into Daily Wear Collection; a dedicated page would let it rank for its own design-related searches.</t>
  </si>
  <si>
    <t xml:space="preserve">C. Quick-win action list (highest impact, lowest effort first)</t>
  </si>
  <si>
    <t xml:space="preserve">1. Add the exact Priority-1 keywords from the Master List into existing page titles, H1/H2s and first paragraphs where they fit naturally (never force a keyword into a sentence that reads awkwardly).</t>
  </si>
  <si>
    <t xml:space="preserve">2. Create the Bangles and Earrings pages first — both had multiple seed keywords and currently share one generic section.</t>
  </si>
  <si>
    <t xml:space="preserve">3. Add 3-4 FAQ entries using the exact phrasing of the Purity - Education keywords (e.g. "Is 21K or 22K gold better?") — low competition, easy to rank, and builds trust/E-E-A-T.</t>
  </si>
  <si>
    <t xml:space="preserve">4. Set up (or verify) a Google Business Profile for SM Gold with the exact address and phone used on the site — this is what actually wins 'near me' and map-pack results, more than on-page text alone.</t>
  </si>
  <si>
    <t xml:space="preserve">5. Weave 2-3 Roman Urdu terms (sona rate, sunar, jhumka) naturally into relevant page copy — real local search behaviour competitors are likely ignoring.</t>
  </si>
  <si>
    <t xml:space="preserve">6. Once live, connect Google Search Console and revisit this workbook after 4-6 weeks — real impression/click data will confirm or correct the Volume Tier and Priority estimates.</t>
  </si>
</sst>
</file>

<file path=xl/styles.xml><?xml version="1.0" encoding="utf-8"?>
<styleSheet xmlns="http://schemas.openxmlformats.org/spreadsheetml/2006/main">
  <numFmts count="2">
    <numFmt numFmtId="164" formatCode="General"/>
    <numFmt numFmtId="165" formatCode="0.0%"/>
  </numFmts>
  <fonts count="23">
    <font>
      <sz val="11"/>
      <color theme="1"/>
      <name val="Calibri"/>
      <family val="2"/>
      <charset val="1"/>
    </font>
    <font>
      <sz val="10"/>
      <name val="Arial"/>
      <family val="0"/>
    </font>
    <font>
      <sz val="10"/>
      <name val="Arial"/>
      <family val="0"/>
    </font>
    <font>
      <sz val="10"/>
      <name val="Arial"/>
      <family val="0"/>
    </font>
    <font>
      <b val="true"/>
      <sz val="16"/>
      <color rgb="FF1A1712"/>
      <name val="Arial"/>
      <family val="0"/>
      <charset val="1"/>
    </font>
    <font>
      <i val="true"/>
      <sz val="10.5"/>
      <color rgb="FF55503F"/>
      <name val="Arial"/>
      <family val="0"/>
      <charset val="1"/>
    </font>
    <font>
      <b val="true"/>
      <sz val="10.5"/>
      <color rgb="FF1A1712"/>
      <name val="Arial"/>
      <family val="0"/>
      <charset val="1"/>
    </font>
    <font>
      <sz val="10.5"/>
      <color rgb="FF222222"/>
      <name val="Arial"/>
      <family val="0"/>
      <charset val="1"/>
    </font>
    <font>
      <b val="true"/>
      <sz val="12"/>
      <color rgb="FF1A1712"/>
      <name val="Arial"/>
      <family val="0"/>
      <charset val="1"/>
    </font>
    <font>
      <b val="true"/>
      <sz val="10.5"/>
      <color rgb="FFFFFFFF"/>
      <name val="Arial"/>
      <family val="0"/>
      <charset val="1"/>
    </font>
    <font>
      <sz val="10"/>
      <color rgb="FF222222"/>
      <name val="Arial"/>
      <family val="0"/>
      <charset val="1"/>
    </font>
    <font>
      <b val="true"/>
      <sz val="10"/>
      <color rgb="FF9C7C1C"/>
      <name val="Arial"/>
      <family val="0"/>
      <charset val="1"/>
    </font>
    <font>
      <i val="true"/>
      <sz val="9"/>
      <color rgb="FF55503F"/>
      <name val="Arial"/>
      <family val="0"/>
      <charset val="1"/>
    </font>
    <font>
      <b val="true"/>
      <sz val="15"/>
      <color rgb="FF1A1712"/>
      <name val="Arial"/>
      <family val="0"/>
      <charset val="1"/>
    </font>
    <font>
      <i val="true"/>
      <sz val="9.5"/>
      <color rgb="FF55503F"/>
      <name val="Arial"/>
      <family val="0"/>
      <charset val="1"/>
    </font>
    <font>
      <b val="true"/>
      <sz val="13"/>
      <color rgb="FF1A1712"/>
      <name val="Arial"/>
      <family val="0"/>
      <charset val="1"/>
    </font>
    <font>
      <sz val="10"/>
      <name val="Arial"/>
      <family val="0"/>
      <charset val="1"/>
    </font>
    <font>
      <sz val="9.5"/>
      <color rgb="FF333333"/>
      <name val="Arial"/>
      <family val="0"/>
      <charset val="1"/>
    </font>
    <font>
      <i val="true"/>
      <sz val="9"/>
      <name val="Arial"/>
      <family val="0"/>
      <charset val="1"/>
    </font>
    <font>
      <b val="true"/>
      <sz val="10"/>
      <name val="Arial"/>
      <family val="0"/>
      <charset val="1"/>
    </font>
    <font>
      <sz val="9.5"/>
      <name val="Arial"/>
      <family val="0"/>
      <charset val="1"/>
    </font>
    <font>
      <b val="true"/>
      <sz val="10"/>
      <color rgb="FFFFFFFF"/>
      <name val="Arial"/>
      <family val="0"/>
      <charset val="1"/>
    </font>
    <font>
      <b val="true"/>
      <sz val="9.5"/>
      <name val="Arial"/>
      <family val="0"/>
      <charset val="1"/>
    </font>
  </fonts>
  <fills count="6">
    <fill>
      <patternFill patternType="none"/>
    </fill>
    <fill>
      <patternFill patternType="gray125"/>
    </fill>
    <fill>
      <patternFill patternType="solid">
        <fgColor rgb="FF1A1712"/>
        <bgColor rgb="FF222222"/>
      </patternFill>
    </fill>
    <fill>
      <patternFill patternType="solid">
        <fgColor rgb="FFFFF3CD"/>
        <bgColor rgb="FFFAECE7"/>
      </patternFill>
    </fill>
    <fill>
      <patternFill patternType="solid">
        <fgColor rgb="FFE1F5EE"/>
        <bgColor rgb="FFCCFFFF"/>
      </patternFill>
    </fill>
    <fill>
      <patternFill patternType="solid">
        <fgColor rgb="FFFAECE7"/>
        <bgColor rgb="FFFFF3CD"/>
      </patternFill>
    </fill>
  </fills>
  <borders count="2">
    <border diagonalUp="false" diagonalDown="false">
      <left/>
      <right/>
      <top/>
      <bottom/>
      <diagonal/>
    </border>
    <border diagonalUp="false" diagonalDown="false">
      <left style="thin">
        <color rgb="FFDDDDDD"/>
      </left>
      <right style="thin">
        <color rgb="FFDDDDDD"/>
      </right>
      <top style="thin">
        <color rgb="FFDDDDDD"/>
      </top>
      <bottom style="thin">
        <color rgb="FFDDD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general" vertical="center" textRotation="0" wrapText="false" indent="0" shrinkToFit="false"/>
      <protection locked="true" hidden="false"/>
    </xf>
    <xf numFmtId="164" fontId="10" fillId="3" borderId="1" xfId="0" applyFont="true" applyBorder="true" applyAlignment="true" applyProtection="false">
      <alignment horizontal="general" vertical="center" textRotation="0" wrapText="true" indent="0" shrinkToFit="false"/>
      <protection locked="true" hidden="false"/>
    </xf>
    <xf numFmtId="164" fontId="11" fillId="3" borderId="1" xfId="0" applyFont="true" applyBorder="true" applyAlignment="true" applyProtection="false">
      <alignment horizontal="general" vertical="center" textRotation="0" wrapText="false" indent="0" shrinkToFit="false"/>
      <protection locked="true" hidden="false"/>
    </xf>
    <xf numFmtId="164" fontId="10" fillId="0" borderId="1" xfId="0" applyFont="true" applyBorder="true" applyAlignment="true" applyProtection="false">
      <alignment horizontal="general" vertical="center" textRotation="0" wrapText="fals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center"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center" vertical="center"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5"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tru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21" fillId="2" borderId="0" xfId="0" applyFont="true" applyBorder="false" applyAlignment="false" applyProtection="false">
      <alignment horizontal="general" vertical="bottom" textRotation="0" wrapText="false" indent="0" shrinkToFit="false"/>
      <protection locked="true" hidden="false"/>
    </xf>
    <xf numFmtId="164" fontId="22" fillId="4" borderId="0" xfId="0" applyFont="true" applyBorder="false" applyAlignment="false" applyProtection="false">
      <alignment horizontal="general" vertical="bottom" textRotation="0" wrapText="false" indent="0" shrinkToFit="false"/>
      <protection locked="true" hidden="false"/>
    </xf>
    <xf numFmtId="164" fontId="20" fillId="4" borderId="0" xfId="0" applyFont="true" applyBorder="false" applyAlignment="true" applyProtection="false">
      <alignment horizontal="general" vertical="top" textRotation="0" wrapText="true" indent="0" shrinkToFit="false"/>
      <protection locked="true" hidden="false"/>
    </xf>
    <xf numFmtId="164" fontId="22" fillId="5" borderId="0" xfId="0" applyFont="true" applyBorder="false" applyAlignment="false" applyProtection="false">
      <alignment horizontal="general" vertical="bottom" textRotation="0" wrapText="false" indent="0" shrinkToFit="false"/>
      <protection locked="true" hidden="false"/>
    </xf>
    <xf numFmtId="164" fontId="20" fillId="5"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A1712"/>
          <bgColor rgb="FF000000"/>
        </patternFill>
      </fill>
    </dxf>
    <dxf>
      <fill>
        <patternFill patternType="solid">
          <fgColor rgb="FFFFF3CD"/>
          <bgColor rgb="FF000000"/>
        </patternFill>
      </fill>
    </dxf>
    <dxf>
      <fill>
        <patternFill patternType="solid">
          <bgColor rgb="FF000000"/>
        </patternFill>
      </fill>
    </dxf>
    <dxf>
      <fill>
        <patternFill patternType="solid">
          <fgColor rgb="FF222222"/>
          <bgColor rgb="FF000000"/>
        </patternFill>
      </fill>
    </dxf>
    <dxf>
      <fill>
        <patternFill patternType="solid">
          <fgColor rgb="FFFFFFFF"/>
          <bgColor rgb="FF000000"/>
        </patternFill>
      </fill>
    </dxf>
    <dxf>
      <fill>
        <patternFill patternType="solid">
          <fgColor rgb="FF9C7C1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9C7C1C"/>
      <rgbColor rgb="FF800080"/>
      <rgbColor rgb="FF008080"/>
      <rgbColor rgb="FFC0C0C0"/>
      <rgbColor rgb="FF808080"/>
      <rgbColor rgb="FF9999FF"/>
      <rgbColor rgb="FF993366"/>
      <rgbColor rgb="FFFFF3CD"/>
      <rgbColor rgb="FFE1F5EE"/>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AECE7"/>
      <rgbColor rgb="FF99CCFF"/>
      <rgbColor rgb="FFFF99CC"/>
      <rgbColor rgb="FFCC99FF"/>
      <rgbColor rgb="FFFFCC99"/>
      <rgbColor rgb="FF3366FF"/>
      <rgbColor rgb="FF33CCCC"/>
      <rgbColor rgb="FF99CC00"/>
      <rgbColor rgb="FFFFCC00"/>
      <rgbColor rgb="FFFF9900"/>
      <rgbColor rgb="FFFF6600"/>
      <rgbColor rgb="FF55503F"/>
      <rgbColor rgb="FF969696"/>
      <rgbColor rgb="FF003366"/>
      <rgbColor rgb="FF339966"/>
      <rgbColor rgb="FF1A1712"/>
      <rgbColor rgb="FF222222"/>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KeywordMasterList" displayName="KeywordMasterList" ref="A1:K100" headerRowCount="1" totalsRowCount="0" totalsRowShown="0">
  <autoFilter ref="A1:K100"/>
  <tableColumns count="11">
    <tableColumn id="1" name="#"/>
    <tableColumn id="2" name="Keyword"/>
    <tableColumn id="3" name="Source"/>
    <tableColumn id="4" name="Category"/>
    <tableColumn id="5" name="Search Intent"/>
    <tableColumn id="6" name="Location Level"/>
    <tableColumn id="7" name="Language"/>
    <tableColumn id="8" name="Est. Volume Tier"/>
    <tableColumn id="9" name="Competition"/>
    <tableColumn id="10" name="Priority"/>
    <tableColumn id="11" name="Recommended Target Pag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90"/>
  </cols>
  <sheetData>
    <row r="1" customFormat="false" ht="27.75" hidden="false" customHeight="true" outlineLevel="0" collapsed="false">
      <c r="A1" s="1" t="s">
        <v>0</v>
      </c>
      <c r="B1" s="1"/>
    </row>
    <row r="2" customFormat="false" ht="15" hidden="false" customHeight="false" outlineLevel="0" collapsed="false">
      <c r="A2" s="2" t="s">
        <v>1</v>
      </c>
      <c r="B2" s="2"/>
    </row>
    <row r="3" customFormat="false" ht="13.5" hidden="false" customHeight="true" outlineLevel="0" collapsed="false">
      <c r="A3" s="3"/>
      <c r="B3" s="4"/>
    </row>
    <row r="4" customFormat="false" ht="15" hidden="false" customHeight="false" outlineLevel="0" collapsed="false">
      <c r="A4" s="5" t="s">
        <v>2</v>
      </c>
      <c r="B4" s="5"/>
    </row>
    <row r="5" customFormat="false" ht="45.75" hidden="false" customHeight="true" outlineLevel="0" collapsed="false">
      <c r="A5" s="3" t="s">
        <v>3</v>
      </c>
      <c r="B5" s="4" t="s">
        <v>4</v>
      </c>
    </row>
    <row r="6" customFormat="false" ht="45.75" hidden="false" customHeight="true" outlineLevel="0" collapsed="false">
      <c r="A6" s="3" t="s">
        <v>5</v>
      </c>
      <c r="B6" s="4" t="s">
        <v>6</v>
      </c>
    </row>
    <row r="7" customFormat="false" ht="45.75" hidden="false" customHeight="true" outlineLevel="0" collapsed="false">
      <c r="A7" s="3" t="s">
        <v>7</v>
      </c>
      <c r="B7" s="4" t="s">
        <v>8</v>
      </c>
    </row>
    <row r="8" customFormat="false" ht="45.75" hidden="false" customHeight="true" outlineLevel="0" collapsed="false">
      <c r="A8" s="3" t="s">
        <v>9</v>
      </c>
      <c r="B8" s="4" t="s">
        <v>10</v>
      </c>
    </row>
    <row r="9" customFormat="false" ht="13.5" hidden="false" customHeight="true" outlineLevel="0" collapsed="false">
      <c r="A9" s="3"/>
      <c r="B9" s="4"/>
    </row>
    <row r="10" customFormat="false" ht="15" hidden="false" customHeight="false" outlineLevel="0" collapsed="false">
      <c r="A10" s="5" t="s">
        <v>11</v>
      </c>
      <c r="B10" s="5"/>
    </row>
    <row r="11" customFormat="false" ht="45.75" hidden="false" customHeight="true" outlineLevel="0" collapsed="false">
      <c r="A11" s="3" t="s">
        <v>12</v>
      </c>
      <c r="B11" s="4" t="s">
        <v>13</v>
      </c>
    </row>
  </sheetData>
  <mergeCells count="4">
    <mergeCell ref="A1:B1"/>
    <mergeCell ref="A2:B2"/>
    <mergeCell ref="A4:B4"/>
    <mergeCell ref="A10:B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4"/>
    <col collapsed="false" customWidth="true" hidden="false" outlineLevel="0" max="3" min="3" style="0" width="10"/>
    <col collapsed="false" customWidth="true" hidden="false" outlineLevel="0" max="4" min="4" style="0" width="20"/>
    <col collapsed="false" customWidth="true" hidden="false" outlineLevel="0" max="5" min="5" style="0" width="22"/>
    <col collapsed="false" customWidth="true" hidden="false" outlineLevel="0" max="6" min="6" style="0" width="17"/>
    <col collapsed="false" customWidth="true" hidden="false" outlineLevel="0" max="7" min="7" style="0" width="12"/>
    <col collapsed="false" customWidth="true" hidden="false" outlineLevel="0" max="8" min="8" style="0" width="15"/>
    <col collapsed="false" customWidth="true" hidden="false" outlineLevel="0" max="9" min="9" style="0" width="12"/>
    <col collapsed="false" customWidth="true" hidden="false" outlineLevel="0" max="10" min="10" style="0" width="9"/>
    <col collapsed="false" customWidth="true" hidden="false" outlineLevel="0" max="11" min="11" style="0" width="28"/>
  </cols>
  <sheetData>
    <row r="1" customFormat="false" ht="31.5" hidden="false" customHeight="true" outlineLevel="0" collapsed="false">
      <c r="A1" s="6" t="s">
        <v>14</v>
      </c>
      <c r="B1" s="6" t="s">
        <v>15</v>
      </c>
      <c r="C1" s="6" t="s">
        <v>16</v>
      </c>
      <c r="D1" s="6" t="s">
        <v>17</v>
      </c>
      <c r="E1" s="6" t="s">
        <v>18</v>
      </c>
      <c r="F1" s="6" t="s">
        <v>19</v>
      </c>
      <c r="G1" s="6" t="s">
        <v>20</v>
      </c>
      <c r="H1" s="6" t="s">
        <v>21</v>
      </c>
      <c r="I1" s="6" t="s">
        <v>22</v>
      </c>
      <c r="J1" s="6" t="s">
        <v>23</v>
      </c>
      <c r="K1" s="6" t="s">
        <v>24</v>
      </c>
    </row>
    <row r="2" customFormat="false" ht="15" hidden="false" customHeight="false" outlineLevel="0" collapsed="false">
      <c r="A2" s="7" t="n">
        <v>1</v>
      </c>
      <c r="B2" s="8" t="s">
        <v>25</v>
      </c>
      <c r="C2" s="9" t="s">
        <v>26</v>
      </c>
      <c r="D2" s="7" t="s">
        <v>27</v>
      </c>
      <c r="E2" s="7" t="s">
        <v>28</v>
      </c>
      <c r="F2" s="7" t="s">
        <v>29</v>
      </c>
      <c r="G2" s="7" t="s">
        <v>30</v>
      </c>
      <c r="H2" s="7" t="s">
        <v>31</v>
      </c>
      <c r="I2" s="7" t="s">
        <v>32</v>
      </c>
      <c r="J2" s="7" t="n">
        <v>1</v>
      </c>
      <c r="K2" s="8" t="s">
        <v>33</v>
      </c>
    </row>
    <row r="3" customFormat="false" ht="15" hidden="false" customHeight="false" outlineLevel="0" collapsed="false">
      <c r="A3" s="10" t="n">
        <v>2</v>
      </c>
      <c r="B3" s="11" t="s">
        <v>34</v>
      </c>
      <c r="C3" s="12" t="s">
        <v>26</v>
      </c>
      <c r="D3" s="10" t="s">
        <v>35</v>
      </c>
      <c r="E3" s="10" t="s">
        <v>36</v>
      </c>
      <c r="F3" s="10" t="s">
        <v>37</v>
      </c>
      <c r="G3" s="10" t="s">
        <v>30</v>
      </c>
      <c r="H3" s="10" t="s">
        <v>38</v>
      </c>
      <c r="I3" s="10" t="s">
        <v>38</v>
      </c>
      <c r="J3" s="10" t="n">
        <v>2</v>
      </c>
      <c r="K3" s="11" t="s">
        <v>39</v>
      </c>
    </row>
    <row r="4" customFormat="false" ht="15" hidden="false" customHeight="false" outlineLevel="0" collapsed="false">
      <c r="A4" s="7" t="n">
        <v>3</v>
      </c>
      <c r="B4" s="8" t="s">
        <v>40</v>
      </c>
      <c r="C4" s="9" t="s">
        <v>26</v>
      </c>
      <c r="D4" s="7" t="s">
        <v>41</v>
      </c>
      <c r="E4" s="7" t="s">
        <v>41</v>
      </c>
      <c r="F4" s="7" t="s">
        <v>37</v>
      </c>
      <c r="G4" s="7" t="s">
        <v>30</v>
      </c>
      <c r="H4" s="7" t="s">
        <v>31</v>
      </c>
      <c r="I4" s="7" t="s">
        <v>32</v>
      </c>
      <c r="J4" s="7" t="n">
        <v>1</v>
      </c>
      <c r="K4" s="8" t="s">
        <v>42</v>
      </c>
    </row>
    <row r="5" customFormat="false" ht="15" hidden="false" customHeight="false" outlineLevel="0" collapsed="false">
      <c r="A5" s="10" t="n">
        <v>4</v>
      </c>
      <c r="B5" s="11" t="s">
        <v>43</v>
      </c>
      <c r="C5" s="12" t="s">
        <v>26</v>
      </c>
      <c r="D5" s="10" t="s">
        <v>44</v>
      </c>
      <c r="E5" s="10" t="s">
        <v>36</v>
      </c>
      <c r="F5" s="10" t="s">
        <v>37</v>
      </c>
      <c r="G5" s="10" t="s">
        <v>30</v>
      </c>
      <c r="H5" s="10" t="s">
        <v>38</v>
      </c>
      <c r="I5" s="10" t="s">
        <v>38</v>
      </c>
      <c r="J5" s="10" t="n">
        <v>2</v>
      </c>
      <c r="K5" s="11" t="s">
        <v>45</v>
      </c>
    </row>
    <row r="6" customFormat="false" ht="15" hidden="false" customHeight="false" outlineLevel="0" collapsed="false">
      <c r="A6" s="10" t="n">
        <v>5</v>
      </c>
      <c r="B6" s="11" t="s">
        <v>46</v>
      </c>
      <c r="C6" s="12" t="s">
        <v>26</v>
      </c>
      <c r="D6" s="10" t="s">
        <v>47</v>
      </c>
      <c r="E6" s="10" t="s">
        <v>36</v>
      </c>
      <c r="F6" s="10" t="s">
        <v>37</v>
      </c>
      <c r="G6" s="10" t="s">
        <v>30</v>
      </c>
      <c r="H6" s="10" t="s">
        <v>48</v>
      </c>
      <c r="I6" s="10" t="s">
        <v>48</v>
      </c>
      <c r="J6" s="10" t="n">
        <v>3</v>
      </c>
      <c r="K6" s="11" t="s">
        <v>49</v>
      </c>
    </row>
    <row r="7" customFormat="false" ht="15" hidden="false" customHeight="false" outlineLevel="0" collapsed="false">
      <c r="A7" s="10" t="n">
        <v>6</v>
      </c>
      <c r="B7" s="11" t="s">
        <v>50</v>
      </c>
      <c r="C7" s="12" t="s">
        <v>26</v>
      </c>
      <c r="D7" s="10" t="s">
        <v>51</v>
      </c>
      <c r="E7" s="10" t="s">
        <v>36</v>
      </c>
      <c r="F7" s="10" t="s">
        <v>37</v>
      </c>
      <c r="G7" s="10" t="s">
        <v>30</v>
      </c>
      <c r="H7" s="10" t="s">
        <v>48</v>
      </c>
      <c r="I7" s="10" t="s">
        <v>48</v>
      </c>
      <c r="J7" s="10" t="n">
        <v>3</v>
      </c>
      <c r="K7" s="11" t="s">
        <v>52</v>
      </c>
    </row>
    <row r="8" customFormat="false" ht="15" hidden="false" customHeight="false" outlineLevel="0" collapsed="false">
      <c r="A8" s="7" t="n">
        <v>7</v>
      </c>
      <c r="B8" s="8" t="s">
        <v>53</v>
      </c>
      <c r="C8" s="9" t="s">
        <v>26</v>
      </c>
      <c r="D8" s="7" t="s">
        <v>51</v>
      </c>
      <c r="E8" s="7" t="s">
        <v>36</v>
      </c>
      <c r="F8" s="7" t="s">
        <v>37</v>
      </c>
      <c r="G8" s="7" t="s">
        <v>30</v>
      </c>
      <c r="H8" s="7" t="s">
        <v>38</v>
      </c>
      <c r="I8" s="7" t="s">
        <v>31</v>
      </c>
      <c r="J8" s="7" t="n">
        <v>1</v>
      </c>
      <c r="K8" s="8" t="s">
        <v>52</v>
      </c>
    </row>
    <row r="9" customFormat="false" ht="15" hidden="false" customHeight="false" outlineLevel="0" collapsed="false">
      <c r="A9" s="7" t="n">
        <v>8</v>
      </c>
      <c r="B9" s="8" t="s">
        <v>54</v>
      </c>
      <c r="C9" s="9" t="s">
        <v>26</v>
      </c>
      <c r="D9" s="7" t="s">
        <v>51</v>
      </c>
      <c r="E9" s="7" t="s">
        <v>36</v>
      </c>
      <c r="F9" s="7" t="s">
        <v>37</v>
      </c>
      <c r="G9" s="7" t="s">
        <v>30</v>
      </c>
      <c r="H9" s="7" t="s">
        <v>31</v>
      </c>
      <c r="I9" s="7" t="s">
        <v>31</v>
      </c>
      <c r="J9" s="7" t="n">
        <v>1</v>
      </c>
      <c r="K9" s="8" t="s">
        <v>39</v>
      </c>
    </row>
    <row r="10" customFormat="false" ht="15" hidden="false" customHeight="false" outlineLevel="0" collapsed="false">
      <c r="A10" s="10" t="n">
        <v>9</v>
      </c>
      <c r="B10" s="11" t="s">
        <v>55</v>
      </c>
      <c r="C10" s="12" t="s">
        <v>26</v>
      </c>
      <c r="D10" s="10" t="s">
        <v>56</v>
      </c>
      <c r="E10" s="10" t="s">
        <v>36</v>
      </c>
      <c r="F10" s="10" t="s">
        <v>37</v>
      </c>
      <c r="G10" s="10" t="s">
        <v>30</v>
      </c>
      <c r="H10" s="10" t="s">
        <v>32</v>
      </c>
      <c r="I10" s="10" t="s">
        <v>32</v>
      </c>
      <c r="J10" s="10" t="n">
        <v>2</v>
      </c>
      <c r="K10" s="11" t="s">
        <v>57</v>
      </c>
    </row>
    <row r="11" customFormat="false" ht="15" hidden="false" customHeight="false" outlineLevel="0" collapsed="false">
      <c r="A11" s="10" t="n">
        <v>10</v>
      </c>
      <c r="B11" s="11" t="s">
        <v>58</v>
      </c>
      <c r="C11" s="12" t="s">
        <v>26</v>
      </c>
      <c r="D11" s="10" t="s">
        <v>44</v>
      </c>
      <c r="E11" s="10" t="s">
        <v>59</v>
      </c>
      <c r="F11" s="10" t="s">
        <v>60</v>
      </c>
      <c r="G11" s="10" t="s">
        <v>30</v>
      </c>
      <c r="H11" s="10" t="s">
        <v>48</v>
      </c>
      <c r="I11" s="10" t="s">
        <v>48</v>
      </c>
      <c r="J11" s="10" t="n">
        <v>3</v>
      </c>
      <c r="K11" s="11" t="s">
        <v>61</v>
      </c>
    </row>
    <row r="12" customFormat="false" ht="15" hidden="false" customHeight="false" outlineLevel="0" collapsed="false">
      <c r="A12" s="7" t="n">
        <v>11</v>
      </c>
      <c r="B12" s="8" t="s">
        <v>62</v>
      </c>
      <c r="C12" s="7" t="s">
        <v>63</v>
      </c>
      <c r="D12" s="7" t="s">
        <v>27</v>
      </c>
      <c r="E12" s="7" t="s">
        <v>28</v>
      </c>
      <c r="F12" s="7" t="s">
        <v>29</v>
      </c>
      <c r="G12" s="7" t="s">
        <v>30</v>
      </c>
      <c r="H12" s="7" t="s">
        <v>32</v>
      </c>
      <c r="I12" s="7" t="s">
        <v>32</v>
      </c>
      <c r="J12" s="7" t="n">
        <v>1</v>
      </c>
      <c r="K12" s="8" t="s">
        <v>33</v>
      </c>
    </row>
    <row r="13" customFormat="false" ht="15" hidden="false" customHeight="false" outlineLevel="0" collapsed="false">
      <c r="A13" s="10" t="n">
        <v>12</v>
      </c>
      <c r="B13" s="11" t="s">
        <v>64</v>
      </c>
      <c r="C13" s="10" t="s">
        <v>63</v>
      </c>
      <c r="D13" s="10" t="s">
        <v>27</v>
      </c>
      <c r="E13" s="10" t="s">
        <v>28</v>
      </c>
      <c r="F13" s="10" t="s">
        <v>65</v>
      </c>
      <c r="G13" s="10" t="s">
        <v>30</v>
      </c>
      <c r="H13" s="10" t="s">
        <v>32</v>
      </c>
      <c r="I13" s="10" t="s">
        <v>32</v>
      </c>
      <c r="J13" s="10" t="n">
        <v>2</v>
      </c>
      <c r="K13" s="11" t="s">
        <v>42</v>
      </c>
    </row>
    <row r="14" customFormat="false" ht="15" hidden="false" customHeight="false" outlineLevel="0" collapsed="false">
      <c r="A14" s="10" t="n">
        <v>13</v>
      </c>
      <c r="B14" s="11" t="s">
        <v>66</v>
      </c>
      <c r="C14" s="10" t="s">
        <v>63</v>
      </c>
      <c r="D14" s="10" t="s">
        <v>27</v>
      </c>
      <c r="E14" s="10" t="s">
        <v>28</v>
      </c>
      <c r="F14" s="10" t="s">
        <v>29</v>
      </c>
      <c r="G14" s="10" t="s">
        <v>30</v>
      </c>
      <c r="H14" s="10" t="s">
        <v>32</v>
      </c>
      <c r="I14" s="10" t="s">
        <v>32</v>
      </c>
      <c r="J14" s="10" t="n">
        <v>2</v>
      </c>
      <c r="K14" s="11" t="s">
        <v>33</v>
      </c>
    </row>
    <row r="15" customFormat="false" ht="15" hidden="false" customHeight="false" outlineLevel="0" collapsed="false">
      <c r="A15" s="10" t="n">
        <v>14</v>
      </c>
      <c r="B15" s="11" t="s">
        <v>67</v>
      </c>
      <c r="C15" s="10" t="s">
        <v>63</v>
      </c>
      <c r="D15" s="10" t="s">
        <v>27</v>
      </c>
      <c r="E15" s="10" t="s">
        <v>28</v>
      </c>
      <c r="F15" s="10" t="s">
        <v>29</v>
      </c>
      <c r="G15" s="10" t="s">
        <v>30</v>
      </c>
      <c r="H15" s="10" t="s">
        <v>32</v>
      </c>
      <c r="I15" s="10" t="s">
        <v>32</v>
      </c>
      <c r="J15" s="10" t="n">
        <v>2</v>
      </c>
      <c r="K15" s="11" t="s">
        <v>61</v>
      </c>
    </row>
    <row r="16" customFormat="false" ht="15" hidden="false" customHeight="false" outlineLevel="0" collapsed="false">
      <c r="A16" s="10" t="n">
        <v>15</v>
      </c>
      <c r="B16" s="11" t="s">
        <v>68</v>
      </c>
      <c r="C16" s="10" t="s">
        <v>63</v>
      </c>
      <c r="D16" s="10" t="s">
        <v>27</v>
      </c>
      <c r="E16" s="10" t="s">
        <v>28</v>
      </c>
      <c r="F16" s="10" t="s">
        <v>29</v>
      </c>
      <c r="G16" s="10" t="s">
        <v>30</v>
      </c>
      <c r="H16" s="10" t="s">
        <v>32</v>
      </c>
      <c r="I16" s="10" t="s">
        <v>32</v>
      </c>
      <c r="J16" s="10" t="n">
        <v>2</v>
      </c>
      <c r="K16" s="11" t="s">
        <v>42</v>
      </c>
    </row>
    <row r="17" customFormat="false" ht="15" hidden="false" customHeight="false" outlineLevel="0" collapsed="false">
      <c r="A17" s="10" t="n">
        <v>16</v>
      </c>
      <c r="B17" s="11" t="s">
        <v>69</v>
      </c>
      <c r="C17" s="10" t="s">
        <v>63</v>
      </c>
      <c r="D17" s="10" t="s">
        <v>27</v>
      </c>
      <c r="E17" s="10" t="s">
        <v>28</v>
      </c>
      <c r="F17" s="10" t="s">
        <v>29</v>
      </c>
      <c r="G17" s="10" t="s">
        <v>30</v>
      </c>
      <c r="H17" s="10" t="s">
        <v>32</v>
      </c>
      <c r="I17" s="10" t="s">
        <v>32</v>
      </c>
      <c r="J17" s="10" t="n">
        <v>3</v>
      </c>
      <c r="K17" s="11" t="s">
        <v>42</v>
      </c>
    </row>
    <row r="18" customFormat="false" ht="15" hidden="false" customHeight="false" outlineLevel="0" collapsed="false">
      <c r="A18" s="7" t="n">
        <v>17</v>
      </c>
      <c r="B18" s="8" t="s">
        <v>70</v>
      </c>
      <c r="C18" s="7" t="s">
        <v>63</v>
      </c>
      <c r="D18" s="7" t="s">
        <v>41</v>
      </c>
      <c r="E18" s="7" t="s">
        <v>41</v>
      </c>
      <c r="F18" s="7" t="s">
        <v>37</v>
      </c>
      <c r="G18" s="7" t="s">
        <v>30</v>
      </c>
      <c r="H18" s="7" t="s">
        <v>48</v>
      </c>
      <c r="I18" s="7" t="s">
        <v>31</v>
      </c>
      <c r="J18" s="7" t="n">
        <v>1</v>
      </c>
      <c r="K18" s="8" t="s">
        <v>71</v>
      </c>
    </row>
    <row r="19" customFormat="false" ht="15" hidden="false" customHeight="false" outlineLevel="0" collapsed="false">
      <c r="A19" s="7" t="n">
        <v>18</v>
      </c>
      <c r="B19" s="8" t="s">
        <v>72</v>
      </c>
      <c r="C19" s="7" t="s">
        <v>63</v>
      </c>
      <c r="D19" s="7" t="s">
        <v>41</v>
      </c>
      <c r="E19" s="7" t="s">
        <v>41</v>
      </c>
      <c r="F19" s="7" t="s">
        <v>37</v>
      </c>
      <c r="G19" s="7" t="s">
        <v>30</v>
      </c>
      <c r="H19" s="7" t="s">
        <v>38</v>
      </c>
      <c r="I19" s="7" t="s">
        <v>31</v>
      </c>
      <c r="J19" s="7" t="n">
        <v>1</v>
      </c>
      <c r="K19" s="8" t="s">
        <v>45</v>
      </c>
    </row>
    <row r="20" customFormat="false" ht="15" hidden="false" customHeight="false" outlineLevel="0" collapsed="false">
      <c r="A20" s="7" t="n">
        <v>19</v>
      </c>
      <c r="B20" s="8" t="s">
        <v>73</v>
      </c>
      <c r="C20" s="7" t="s">
        <v>63</v>
      </c>
      <c r="D20" s="7" t="s">
        <v>41</v>
      </c>
      <c r="E20" s="7" t="s">
        <v>41</v>
      </c>
      <c r="F20" s="7" t="s">
        <v>37</v>
      </c>
      <c r="G20" s="7" t="s">
        <v>30</v>
      </c>
      <c r="H20" s="7" t="s">
        <v>31</v>
      </c>
      <c r="I20" s="7" t="s">
        <v>32</v>
      </c>
      <c r="J20" s="7" t="n">
        <v>1</v>
      </c>
      <c r="K20" s="8" t="s">
        <v>74</v>
      </c>
    </row>
    <row r="21" customFormat="false" ht="15" hidden="false" customHeight="false" outlineLevel="0" collapsed="false">
      <c r="A21" s="7" t="n">
        <v>20</v>
      </c>
      <c r="B21" s="8" t="s">
        <v>75</v>
      </c>
      <c r="C21" s="7" t="s">
        <v>63</v>
      </c>
      <c r="D21" s="7" t="s">
        <v>41</v>
      </c>
      <c r="E21" s="7" t="s">
        <v>41</v>
      </c>
      <c r="F21" s="7" t="s">
        <v>29</v>
      </c>
      <c r="G21" s="7" t="s">
        <v>30</v>
      </c>
      <c r="H21" s="7" t="s">
        <v>31</v>
      </c>
      <c r="I21" s="7" t="s">
        <v>32</v>
      </c>
      <c r="J21" s="7" t="n">
        <v>1</v>
      </c>
      <c r="K21" s="8" t="s">
        <v>42</v>
      </c>
    </row>
    <row r="22" customFormat="false" ht="15" hidden="false" customHeight="false" outlineLevel="0" collapsed="false">
      <c r="A22" s="7" t="n">
        <v>21</v>
      </c>
      <c r="B22" s="8" t="s">
        <v>76</v>
      </c>
      <c r="C22" s="7" t="s">
        <v>63</v>
      </c>
      <c r="D22" s="7" t="s">
        <v>41</v>
      </c>
      <c r="E22" s="7" t="s">
        <v>41</v>
      </c>
      <c r="F22" s="7" t="s">
        <v>29</v>
      </c>
      <c r="G22" s="7" t="s">
        <v>30</v>
      </c>
      <c r="H22" s="7" t="s">
        <v>31</v>
      </c>
      <c r="I22" s="7" t="s">
        <v>32</v>
      </c>
      <c r="J22" s="7" t="n">
        <v>1</v>
      </c>
      <c r="K22" s="8" t="s">
        <v>33</v>
      </c>
    </row>
    <row r="23" customFormat="false" ht="15" hidden="false" customHeight="false" outlineLevel="0" collapsed="false">
      <c r="A23" s="7" t="n">
        <v>22</v>
      </c>
      <c r="B23" s="8" t="s">
        <v>77</v>
      </c>
      <c r="C23" s="7" t="s">
        <v>63</v>
      </c>
      <c r="D23" s="7" t="s">
        <v>41</v>
      </c>
      <c r="E23" s="7" t="s">
        <v>36</v>
      </c>
      <c r="F23" s="7" t="s">
        <v>29</v>
      </c>
      <c r="G23" s="7" t="s">
        <v>30</v>
      </c>
      <c r="H23" s="7" t="s">
        <v>31</v>
      </c>
      <c r="I23" s="7" t="s">
        <v>32</v>
      </c>
      <c r="J23" s="7" t="n">
        <v>1</v>
      </c>
      <c r="K23" s="8" t="s">
        <v>74</v>
      </c>
    </row>
    <row r="24" customFormat="false" ht="15" hidden="false" customHeight="false" outlineLevel="0" collapsed="false">
      <c r="A24" s="7" t="n">
        <v>23</v>
      </c>
      <c r="B24" s="8" t="s">
        <v>78</v>
      </c>
      <c r="C24" s="7" t="s">
        <v>63</v>
      </c>
      <c r="D24" s="7" t="s">
        <v>41</v>
      </c>
      <c r="E24" s="7" t="s">
        <v>41</v>
      </c>
      <c r="F24" s="7" t="s">
        <v>65</v>
      </c>
      <c r="G24" s="7" t="s">
        <v>30</v>
      </c>
      <c r="H24" s="7" t="s">
        <v>32</v>
      </c>
      <c r="I24" s="7" t="s">
        <v>32</v>
      </c>
      <c r="J24" s="7" t="n">
        <v>1</v>
      </c>
      <c r="K24" s="8" t="s">
        <v>42</v>
      </c>
    </row>
    <row r="25" customFormat="false" ht="15" hidden="false" customHeight="false" outlineLevel="0" collapsed="false">
      <c r="A25" s="7" t="n">
        <v>24</v>
      </c>
      <c r="B25" s="8" t="s">
        <v>79</v>
      </c>
      <c r="C25" s="7" t="s">
        <v>63</v>
      </c>
      <c r="D25" s="7" t="s">
        <v>41</v>
      </c>
      <c r="E25" s="7" t="s">
        <v>36</v>
      </c>
      <c r="F25" s="7" t="s">
        <v>29</v>
      </c>
      <c r="G25" s="7" t="s">
        <v>30</v>
      </c>
      <c r="H25" s="7" t="s">
        <v>32</v>
      </c>
      <c r="I25" s="7" t="s">
        <v>32</v>
      </c>
      <c r="J25" s="7" t="n">
        <v>1</v>
      </c>
      <c r="K25" s="8" t="s">
        <v>74</v>
      </c>
    </row>
    <row r="26" customFormat="false" ht="15" hidden="false" customHeight="false" outlineLevel="0" collapsed="false">
      <c r="A26" s="10" t="n">
        <v>25</v>
      </c>
      <c r="B26" s="11" t="s">
        <v>80</v>
      </c>
      <c r="C26" s="10" t="s">
        <v>63</v>
      </c>
      <c r="D26" s="10" t="s">
        <v>41</v>
      </c>
      <c r="E26" s="10" t="s">
        <v>41</v>
      </c>
      <c r="F26" s="10" t="s">
        <v>37</v>
      </c>
      <c r="G26" s="10" t="s">
        <v>81</v>
      </c>
      <c r="H26" s="10" t="s">
        <v>31</v>
      </c>
      <c r="I26" s="10" t="s">
        <v>32</v>
      </c>
      <c r="J26" s="10" t="n">
        <v>2</v>
      </c>
      <c r="K26" s="11" t="s">
        <v>42</v>
      </c>
    </row>
    <row r="27" customFormat="false" ht="15" hidden="false" customHeight="false" outlineLevel="0" collapsed="false">
      <c r="A27" s="10" t="n">
        <v>26</v>
      </c>
      <c r="B27" s="11" t="s">
        <v>82</v>
      </c>
      <c r="C27" s="10" t="s">
        <v>63</v>
      </c>
      <c r="D27" s="10" t="s">
        <v>41</v>
      </c>
      <c r="E27" s="10" t="s">
        <v>41</v>
      </c>
      <c r="F27" s="10" t="s">
        <v>29</v>
      </c>
      <c r="G27" s="10" t="s">
        <v>81</v>
      </c>
      <c r="H27" s="10" t="s">
        <v>32</v>
      </c>
      <c r="I27" s="10" t="s">
        <v>32</v>
      </c>
      <c r="J27" s="10" t="n">
        <v>2</v>
      </c>
      <c r="K27" s="11" t="s">
        <v>42</v>
      </c>
    </row>
    <row r="28" customFormat="false" ht="15" hidden="false" customHeight="false" outlineLevel="0" collapsed="false">
      <c r="A28" s="10" t="n">
        <v>27</v>
      </c>
      <c r="B28" s="11" t="s">
        <v>83</v>
      </c>
      <c r="C28" s="10" t="s">
        <v>63</v>
      </c>
      <c r="D28" s="10" t="s">
        <v>41</v>
      </c>
      <c r="E28" s="10" t="s">
        <v>41</v>
      </c>
      <c r="F28" s="10" t="s">
        <v>29</v>
      </c>
      <c r="G28" s="10" t="s">
        <v>30</v>
      </c>
      <c r="H28" s="10" t="s">
        <v>32</v>
      </c>
      <c r="I28" s="10" t="s">
        <v>32</v>
      </c>
      <c r="J28" s="10" t="n">
        <v>2</v>
      </c>
      <c r="K28" s="11" t="s">
        <v>42</v>
      </c>
    </row>
    <row r="29" customFormat="false" ht="15" hidden="false" customHeight="false" outlineLevel="0" collapsed="false">
      <c r="A29" s="10" t="n">
        <v>28</v>
      </c>
      <c r="B29" s="11" t="s">
        <v>84</v>
      </c>
      <c r="C29" s="10" t="s">
        <v>63</v>
      </c>
      <c r="D29" s="10" t="s">
        <v>41</v>
      </c>
      <c r="E29" s="10" t="s">
        <v>41</v>
      </c>
      <c r="F29" s="10" t="s">
        <v>85</v>
      </c>
      <c r="G29" s="10" t="s">
        <v>30</v>
      </c>
      <c r="H29" s="10" t="s">
        <v>31</v>
      </c>
      <c r="I29" s="10" t="s">
        <v>38</v>
      </c>
      <c r="J29" s="10" t="n">
        <v>3</v>
      </c>
      <c r="K29" s="11" t="s">
        <v>33</v>
      </c>
    </row>
    <row r="30" customFormat="false" ht="15" hidden="false" customHeight="false" outlineLevel="0" collapsed="false">
      <c r="A30" s="10" t="n">
        <v>29</v>
      </c>
      <c r="B30" s="11" t="s">
        <v>86</v>
      </c>
      <c r="C30" s="10" t="s">
        <v>63</v>
      </c>
      <c r="D30" s="10" t="s">
        <v>41</v>
      </c>
      <c r="E30" s="10" t="s">
        <v>87</v>
      </c>
      <c r="F30" s="10" t="s">
        <v>29</v>
      </c>
      <c r="G30" s="10" t="s">
        <v>30</v>
      </c>
      <c r="H30" s="10" t="s">
        <v>32</v>
      </c>
      <c r="I30" s="10" t="s">
        <v>32</v>
      </c>
      <c r="J30" s="10" t="n">
        <v>2</v>
      </c>
      <c r="K30" s="11" t="s">
        <v>42</v>
      </c>
    </row>
    <row r="31" customFormat="false" ht="15" hidden="false" customHeight="false" outlineLevel="0" collapsed="false">
      <c r="A31" s="7" t="n">
        <v>30</v>
      </c>
      <c r="B31" s="8" t="s">
        <v>88</v>
      </c>
      <c r="C31" s="7" t="s">
        <v>63</v>
      </c>
      <c r="D31" s="7" t="s">
        <v>89</v>
      </c>
      <c r="E31" s="7" t="s">
        <v>59</v>
      </c>
      <c r="F31" s="7" t="s">
        <v>60</v>
      </c>
      <c r="G31" s="7" t="s">
        <v>30</v>
      </c>
      <c r="H31" s="7" t="s">
        <v>48</v>
      </c>
      <c r="I31" s="7" t="s">
        <v>48</v>
      </c>
      <c r="J31" s="7" t="n">
        <v>1</v>
      </c>
      <c r="K31" s="8" t="s">
        <v>61</v>
      </c>
    </row>
    <row r="32" customFormat="false" ht="15" hidden="false" customHeight="false" outlineLevel="0" collapsed="false">
      <c r="A32" s="7" t="n">
        <v>31</v>
      </c>
      <c r="B32" s="8" t="s">
        <v>90</v>
      </c>
      <c r="C32" s="7" t="s">
        <v>63</v>
      </c>
      <c r="D32" s="7" t="s">
        <v>89</v>
      </c>
      <c r="E32" s="7" t="s">
        <v>59</v>
      </c>
      <c r="F32" s="7" t="s">
        <v>29</v>
      </c>
      <c r="G32" s="7" t="s">
        <v>30</v>
      </c>
      <c r="H32" s="7" t="s">
        <v>38</v>
      </c>
      <c r="I32" s="7" t="s">
        <v>31</v>
      </c>
      <c r="J32" s="7" t="n">
        <v>1</v>
      </c>
      <c r="K32" s="8" t="s">
        <v>61</v>
      </c>
    </row>
    <row r="33" customFormat="false" ht="15" hidden="false" customHeight="false" outlineLevel="0" collapsed="false">
      <c r="A33" s="7" t="n">
        <v>32</v>
      </c>
      <c r="B33" s="8" t="s">
        <v>91</v>
      </c>
      <c r="C33" s="7" t="s">
        <v>63</v>
      </c>
      <c r="D33" s="7" t="s">
        <v>89</v>
      </c>
      <c r="E33" s="7" t="s">
        <v>59</v>
      </c>
      <c r="F33" s="7" t="s">
        <v>60</v>
      </c>
      <c r="G33" s="7" t="s">
        <v>30</v>
      </c>
      <c r="H33" s="7" t="s">
        <v>38</v>
      </c>
      <c r="I33" s="7" t="s">
        <v>38</v>
      </c>
      <c r="J33" s="7" t="n">
        <v>1</v>
      </c>
      <c r="K33" s="8" t="s">
        <v>61</v>
      </c>
    </row>
    <row r="34" customFormat="false" ht="15" hidden="false" customHeight="false" outlineLevel="0" collapsed="false">
      <c r="A34" s="7" t="n">
        <v>33</v>
      </c>
      <c r="B34" s="8" t="s">
        <v>92</v>
      </c>
      <c r="C34" s="7" t="s">
        <v>63</v>
      </c>
      <c r="D34" s="7" t="s">
        <v>89</v>
      </c>
      <c r="E34" s="7" t="s">
        <v>59</v>
      </c>
      <c r="F34" s="7" t="s">
        <v>60</v>
      </c>
      <c r="G34" s="7" t="s">
        <v>30</v>
      </c>
      <c r="H34" s="7" t="s">
        <v>38</v>
      </c>
      <c r="I34" s="7" t="s">
        <v>38</v>
      </c>
      <c r="J34" s="7" t="n">
        <v>1</v>
      </c>
      <c r="K34" s="8" t="s">
        <v>61</v>
      </c>
    </row>
    <row r="35" customFormat="false" ht="15" hidden="false" customHeight="false" outlineLevel="0" collapsed="false">
      <c r="A35" s="7" t="n">
        <v>34</v>
      </c>
      <c r="B35" s="8" t="s">
        <v>93</v>
      </c>
      <c r="C35" s="7" t="s">
        <v>63</v>
      </c>
      <c r="D35" s="7" t="s">
        <v>89</v>
      </c>
      <c r="E35" s="7" t="s">
        <v>59</v>
      </c>
      <c r="F35" s="7" t="s">
        <v>60</v>
      </c>
      <c r="G35" s="7" t="s">
        <v>30</v>
      </c>
      <c r="H35" s="7" t="s">
        <v>38</v>
      </c>
      <c r="I35" s="7" t="s">
        <v>38</v>
      </c>
      <c r="J35" s="7" t="n">
        <v>1</v>
      </c>
      <c r="K35" s="8" t="s">
        <v>61</v>
      </c>
    </row>
    <row r="36" customFormat="false" ht="15" hidden="false" customHeight="false" outlineLevel="0" collapsed="false">
      <c r="A36" s="10" t="n">
        <v>35</v>
      </c>
      <c r="B36" s="11" t="s">
        <v>94</v>
      </c>
      <c r="C36" s="10" t="s">
        <v>63</v>
      </c>
      <c r="D36" s="10" t="s">
        <v>89</v>
      </c>
      <c r="E36" s="10" t="s">
        <v>59</v>
      </c>
      <c r="F36" s="10" t="s">
        <v>60</v>
      </c>
      <c r="G36" s="10" t="s">
        <v>30</v>
      </c>
      <c r="H36" s="10" t="s">
        <v>31</v>
      </c>
      <c r="I36" s="10" t="s">
        <v>38</v>
      </c>
      <c r="J36" s="10" t="n">
        <v>2</v>
      </c>
      <c r="K36" s="11" t="s">
        <v>61</v>
      </c>
    </row>
    <row r="37" customFormat="false" ht="15" hidden="false" customHeight="false" outlineLevel="0" collapsed="false">
      <c r="A37" s="7" t="n">
        <v>36</v>
      </c>
      <c r="B37" s="8" t="s">
        <v>95</v>
      </c>
      <c r="C37" s="7" t="s">
        <v>63</v>
      </c>
      <c r="D37" s="7" t="s">
        <v>89</v>
      </c>
      <c r="E37" s="7" t="s">
        <v>59</v>
      </c>
      <c r="F37" s="7" t="s">
        <v>60</v>
      </c>
      <c r="G37" s="7" t="s">
        <v>81</v>
      </c>
      <c r="H37" s="7" t="s">
        <v>38</v>
      </c>
      <c r="I37" s="7" t="s">
        <v>31</v>
      </c>
      <c r="J37" s="7" t="n">
        <v>1</v>
      </c>
      <c r="K37" s="8" t="s">
        <v>61</v>
      </c>
    </row>
    <row r="38" customFormat="false" ht="15" hidden="false" customHeight="false" outlineLevel="0" collapsed="false">
      <c r="A38" s="7" t="n">
        <v>37</v>
      </c>
      <c r="B38" s="8" t="s">
        <v>96</v>
      </c>
      <c r="C38" s="7" t="s">
        <v>63</v>
      </c>
      <c r="D38" s="7" t="s">
        <v>89</v>
      </c>
      <c r="E38" s="7" t="s">
        <v>59</v>
      </c>
      <c r="F38" s="7" t="s">
        <v>60</v>
      </c>
      <c r="G38" s="7" t="s">
        <v>81</v>
      </c>
      <c r="H38" s="7" t="s">
        <v>38</v>
      </c>
      <c r="I38" s="7" t="s">
        <v>31</v>
      </c>
      <c r="J38" s="7" t="n">
        <v>1</v>
      </c>
      <c r="K38" s="8" t="s">
        <v>61</v>
      </c>
    </row>
    <row r="39" customFormat="false" ht="15" hidden="false" customHeight="false" outlineLevel="0" collapsed="false">
      <c r="A39" s="10" t="n">
        <v>38</v>
      </c>
      <c r="B39" s="11" t="s">
        <v>97</v>
      </c>
      <c r="C39" s="10" t="s">
        <v>63</v>
      </c>
      <c r="D39" s="10" t="s">
        <v>89</v>
      </c>
      <c r="E39" s="10" t="s">
        <v>59</v>
      </c>
      <c r="F39" s="10" t="s">
        <v>60</v>
      </c>
      <c r="G39" s="10" t="s">
        <v>30</v>
      </c>
      <c r="H39" s="10" t="s">
        <v>38</v>
      </c>
      <c r="I39" s="10" t="s">
        <v>38</v>
      </c>
      <c r="J39" s="10" t="n">
        <v>2</v>
      </c>
      <c r="K39" s="11" t="s">
        <v>61</v>
      </c>
    </row>
    <row r="40" customFormat="false" ht="15" hidden="false" customHeight="false" outlineLevel="0" collapsed="false">
      <c r="A40" s="10" t="n">
        <v>39</v>
      </c>
      <c r="B40" s="11" t="s">
        <v>98</v>
      </c>
      <c r="C40" s="10" t="s">
        <v>63</v>
      </c>
      <c r="D40" s="10" t="s">
        <v>89</v>
      </c>
      <c r="E40" s="10" t="s">
        <v>59</v>
      </c>
      <c r="F40" s="10" t="s">
        <v>60</v>
      </c>
      <c r="G40" s="10" t="s">
        <v>30</v>
      </c>
      <c r="H40" s="10" t="s">
        <v>31</v>
      </c>
      <c r="I40" s="10" t="s">
        <v>38</v>
      </c>
      <c r="J40" s="10" t="n">
        <v>2</v>
      </c>
      <c r="K40" s="11" t="s">
        <v>61</v>
      </c>
    </row>
    <row r="41" customFormat="false" ht="15" hidden="false" customHeight="false" outlineLevel="0" collapsed="false">
      <c r="A41" s="7" t="n">
        <v>40</v>
      </c>
      <c r="B41" s="8" t="s">
        <v>99</v>
      </c>
      <c r="C41" s="7" t="s">
        <v>63</v>
      </c>
      <c r="D41" s="7" t="s">
        <v>89</v>
      </c>
      <c r="E41" s="7" t="s">
        <v>59</v>
      </c>
      <c r="F41" s="7" t="s">
        <v>29</v>
      </c>
      <c r="G41" s="7" t="s">
        <v>30</v>
      </c>
      <c r="H41" s="7" t="s">
        <v>31</v>
      </c>
      <c r="I41" s="7" t="s">
        <v>32</v>
      </c>
      <c r="J41" s="7" t="n">
        <v>1</v>
      </c>
      <c r="K41" s="8" t="s">
        <v>61</v>
      </c>
    </row>
    <row r="42" customFormat="false" ht="15" hidden="false" customHeight="false" outlineLevel="0" collapsed="false">
      <c r="A42" s="7" t="n">
        <v>41</v>
      </c>
      <c r="B42" s="8" t="s">
        <v>100</v>
      </c>
      <c r="C42" s="7" t="s">
        <v>63</v>
      </c>
      <c r="D42" s="7" t="s">
        <v>89</v>
      </c>
      <c r="E42" s="7" t="s">
        <v>59</v>
      </c>
      <c r="F42" s="7" t="s">
        <v>60</v>
      </c>
      <c r="G42" s="7" t="s">
        <v>30</v>
      </c>
      <c r="H42" s="7" t="s">
        <v>48</v>
      </c>
      <c r="I42" s="7" t="s">
        <v>38</v>
      </c>
      <c r="J42" s="7" t="n">
        <v>1</v>
      </c>
      <c r="K42" s="8" t="s">
        <v>61</v>
      </c>
    </row>
    <row r="43" customFormat="false" ht="15" hidden="false" customHeight="false" outlineLevel="0" collapsed="false">
      <c r="A43" s="7" t="n">
        <v>42</v>
      </c>
      <c r="B43" s="8" t="s">
        <v>101</v>
      </c>
      <c r="C43" s="7" t="s">
        <v>63</v>
      </c>
      <c r="D43" s="7" t="s">
        <v>35</v>
      </c>
      <c r="E43" s="7" t="s">
        <v>36</v>
      </c>
      <c r="F43" s="7" t="s">
        <v>37</v>
      </c>
      <c r="G43" s="7" t="s">
        <v>30</v>
      </c>
      <c r="H43" s="7" t="s">
        <v>38</v>
      </c>
      <c r="I43" s="7" t="s">
        <v>31</v>
      </c>
      <c r="J43" s="7" t="n">
        <v>1</v>
      </c>
      <c r="K43" s="8" t="s">
        <v>102</v>
      </c>
    </row>
    <row r="44" customFormat="false" ht="15" hidden="false" customHeight="false" outlineLevel="0" collapsed="false">
      <c r="A44" s="7" t="n">
        <v>43</v>
      </c>
      <c r="B44" s="8" t="s">
        <v>103</v>
      </c>
      <c r="C44" s="7" t="s">
        <v>63</v>
      </c>
      <c r="D44" s="7" t="s">
        <v>35</v>
      </c>
      <c r="E44" s="7" t="s">
        <v>36</v>
      </c>
      <c r="F44" s="7" t="s">
        <v>37</v>
      </c>
      <c r="G44" s="7" t="s">
        <v>30</v>
      </c>
      <c r="H44" s="7" t="s">
        <v>31</v>
      </c>
      <c r="I44" s="7" t="s">
        <v>31</v>
      </c>
      <c r="J44" s="7" t="n">
        <v>1</v>
      </c>
      <c r="K44" s="8" t="s">
        <v>39</v>
      </c>
    </row>
    <row r="45" customFormat="false" ht="15" hidden="false" customHeight="false" outlineLevel="0" collapsed="false">
      <c r="A45" s="10" t="n">
        <v>44</v>
      </c>
      <c r="B45" s="11" t="s">
        <v>104</v>
      </c>
      <c r="C45" s="10" t="s">
        <v>63</v>
      </c>
      <c r="D45" s="10" t="s">
        <v>35</v>
      </c>
      <c r="E45" s="10" t="s">
        <v>36</v>
      </c>
      <c r="F45" s="10" t="s">
        <v>37</v>
      </c>
      <c r="G45" s="10" t="s">
        <v>30</v>
      </c>
      <c r="H45" s="10" t="s">
        <v>31</v>
      </c>
      <c r="I45" s="10" t="s">
        <v>31</v>
      </c>
      <c r="J45" s="10" t="n">
        <v>2</v>
      </c>
      <c r="K45" s="11" t="s">
        <v>45</v>
      </c>
    </row>
    <row r="46" customFormat="false" ht="15" hidden="false" customHeight="false" outlineLevel="0" collapsed="false">
      <c r="A46" s="10" t="n">
        <v>45</v>
      </c>
      <c r="B46" s="11" t="s">
        <v>105</v>
      </c>
      <c r="C46" s="10" t="s">
        <v>63</v>
      </c>
      <c r="D46" s="10" t="s">
        <v>35</v>
      </c>
      <c r="E46" s="10" t="s">
        <v>36</v>
      </c>
      <c r="F46" s="10" t="s">
        <v>37</v>
      </c>
      <c r="G46" s="10" t="s">
        <v>81</v>
      </c>
      <c r="H46" s="10" t="s">
        <v>32</v>
      </c>
      <c r="I46" s="10" t="s">
        <v>32</v>
      </c>
      <c r="J46" s="10" t="n">
        <v>2</v>
      </c>
      <c r="K46" s="11" t="s">
        <v>39</v>
      </c>
    </row>
    <row r="47" customFormat="false" ht="15" hidden="false" customHeight="false" outlineLevel="0" collapsed="false">
      <c r="A47" s="10" t="n">
        <v>46</v>
      </c>
      <c r="B47" s="11" t="s">
        <v>106</v>
      </c>
      <c r="C47" s="10" t="s">
        <v>63</v>
      </c>
      <c r="D47" s="10" t="s">
        <v>35</v>
      </c>
      <c r="E47" s="10" t="s">
        <v>36</v>
      </c>
      <c r="F47" s="10" t="s">
        <v>37</v>
      </c>
      <c r="G47" s="10" t="s">
        <v>81</v>
      </c>
      <c r="H47" s="10" t="s">
        <v>32</v>
      </c>
      <c r="I47" s="10" t="s">
        <v>32</v>
      </c>
      <c r="J47" s="10" t="n">
        <v>3</v>
      </c>
      <c r="K47" s="11" t="s">
        <v>39</v>
      </c>
    </row>
    <row r="48" customFormat="false" ht="15" hidden="false" customHeight="false" outlineLevel="0" collapsed="false">
      <c r="A48" s="7" t="n">
        <v>47</v>
      </c>
      <c r="B48" s="8" t="s">
        <v>107</v>
      </c>
      <c r="C48" s="7" t="s">
        <v>63</v>
      </c>
      <c r="D48" s="7" t="s">
        <v>35</v>
      </c>
      <c r="E48" s="7" t="s">
        <v>36</v>
      </c>
      <c r="F48" s="7" t="s">
        <v>60</v>
      </c>
      <c r="G48" s="7" t="s">
        <v>30</v>
      </c>
      <c r="H48" s="7" t="s">
        <v>31</v>
      </c>
      <c r="I48" s="7" t="s">
        <v>31</v>
      </c>
      <c r="J48" s="7" t="n">
        <v>1</v>
      </c>
      <c r="K48" s="8" t="s">
        <v>108</v>
      </c>
    </row>
    <row r="49" customFormat="false" ht="15" hidden="false" customHeight="false" outlineLevel="0" collapsed="false">
      <c r="A49" s="10" t="n">
        <v>48</v>
      </c>
      <c r="B49" s="11" t="s">
        <v>109</v>
      </c>
      <c r="C49" s="10" t="s">
        <v>63</v>
      </c>
      <c r="D49" s="10" t="s">
        <v>35</v>
      </c>
      <c r="E49" s="10" t="s">
        <v>36</v>
      </c>
      <c r="F49" s="10" t="s">
        <v>60</v>
      </c>
      <c r="G49" s="10" t="s">
        <v>30</v>
      </c>
      <c r="H49" s="10" t="s">
        <v>31</v>
      </c>
      <c r="I49" s="10" t="s">
        <v>31</v>
      </c>
      <c r="J49" s="10" t="n">
        <v>2</v>
      </c>
      <c r="K49" s="11" t="s">
        <v>39</v>
      </c>
    </row>
    <row r="50" customFormat="false" ht="15" hidden="false" customHeight="false" outlineLevel="0" collapsed="false">
      <c r="A50" s="7" t="n">
        <v>49</v>
      </c>
      <c r="B50" s="8" t="s">
        <v>110</v>
      </c>
      <c r="C50" s="7" t="s">
        <v>63</v>
      </c>
      <c r="D50" s="7" t="s">
        <v>47</v>
      </c>
      <c r="E50" s="7" t="s">
        <v>36</v>
      </c>
      <c r="F50" s="7" t="s">
        <v>60</v>
      </c>
      <c r="G50" s="7" t="s">
        <v>30</v>
      </c>
      <c r="H50" s="7" t="s">
        <v>38</v>
      </c>
      <c r="I50" s="7" t="s">
        <v>38</v>
      </c>
      <c r="J50" s="7" t="n">
        <v>1</v>
      </c>
      <c r="K50" s="8" t="s">
        <v>49</v>
      </c>
    </row>
    <row r="51" customFormat="false" ht="15" hidden="false" customHeight="false" outlineLevel="0" collapsed="false">
      <c r="A51" s="10" t="n">
        <v>50</v>
      </c>
      <c r="B51" s="11" t="s">
        <v>111</v>
      </c>
      <c r="C51" s="10" t="s">
        <v>63</v>
      </c>
      <c r="D51" s="10" t="s">
        <v>47</v>
      </c>
      <c r="E51" s="10" t="s">
        <v>36</v>
      </c>
      <c r="F51" s="10" t="s">
        <v>60</v>
      </c>
      <c r="G51" s="10" t="s">
        <v>30</v>
      </c>
      <c r="H51" s="10" t="s">
        <v>38</v>
      </c>
      <c r="I51" s="10" t="s">
        <v>48</v>
      </c>
      <c r="J51" s="10" t="n">
        <v>2</v>
      </c>
      <c r="K51" s="11" t="s">
        <v>112</v>
      </c>
    </row>
    <row r="52" customFormat="false" ht="15" hidden="false" customHeight="false" outlineLevel="0" collapsed="false">
      <c r="A52" s="7" t="n">
        <v>51</v>
      </c>
      <c r="B52" s="8" t="s">
        <v>113</v>
      </c>
      <c r="C52" s="7" t="s">
        <v>63</v>
      </c>
      <c r="D52" s="7" t="s">
        <v>47</v>
      </c>
      <c r="E52" s="7" t="s">
        <v>36</v>
      </c>
      <c r="F52" s="7" t="s">
        <v>37</v>
      </c>
      <c r="G52" s="7" t="s">
        <v>30</v>
      </c>
      <c r="H52" s="7" t="s">
        <v>38</v>
      </c>
      <c r="I52" s="7" t="s">
        <v>31</v>
      </c>
      <c r="J52" s="7" t="n">
        <v>1</v>
      </c>
      <c r="K52" s="8" t="s">
        <v>49</v>
      </c>
    </row>
    <row r="53" customFormat="false" ht="15" hidden="false" customHeight="false" outlineLevel="0" collapsed="false">
      <c r="A53" s="7" t="n">
        <v>52</v>
      </c>
      <c r="B53" s="8" t="s">
        <v>114</v>
      </c>
      <c r="C53" s="7" t="s">
        <v>63</v>
      </c>
      <c r="D53" s="7" t="s">
        <v>47</v>
      </c>
      <c r="E53" s="7" t="s">
        <v>36</v>
      </c>
      <c r="F53" s="7" t="s">
        <v>37</v>
      </c>
      <c r="G53" s="7" t="s">
        <v>30</v>
      </c>
      <c r="H53" s="7" t="s">
        <v>31</v>
      </c>
      <c r="I53" s="7" t="s">
        <v>31</v>
      </c>
      <c r="J53" s="7" t="n">
        <v>1</v>
      </c>
      <c r="K53" s="8" t="s">
        <v>112</v>
      </c>
    </row>
    <row r="54" customFormat="false" ht="15" hidden="false" customHeight="false" outlineLevel="0" collapsed="false">
      <c r="A54" s="10" t="n">
        <v>53</v>
      </c>
      <c r="B54" s="11" t="s">
        <v>115</v>
      </c>
      <c r="C54" s="10" t="s">
        <v>63</v>
      </c>
      <c r="D54" s="10" t="s">
        <v>47</v>
      </c>
      <c r="E54" s="10" t="s">
        <v>36</v>
      </c>
      <c r="F54" s="10" t="s">
        <v>60</v>
      </c>
      <c r="G54" s="10" t="s">
        <v>30</v>
      </c>
      <c r="H54" s="10" t="s">
        <v>31</v>
      </c>
      <c r="I54" s="10" t="s">
        <v>38</v>
      </c>
      <c r="J54" s="10" t="n">
        <v>2</v>
      </c>
      <c r="K54" s="11" t="s">
        <v>108</v>
      </c>
    </row>
    <row r="55" customFormat="false" ht="15" hidden="false" customHeight="false" outlineLevel="0" collapsed="false">
      <c r="A55" s="10" t="n">
        <v>54</v>
      </c>
      <c r="B55" s="11" t="s">
        <v>116</v>
      </c>
      <c r="C55" s="10" t="s">
        <v>63</v>
      </c>
      <c r="D55" s="10" t="s">
        <v>47</v>
      </c>
      <c r="E55" s="10" t="s">
        <v>36</v>
      </c>
      <c r="F55" s="10" t="s">
        <v>37</v>
      </c>
      <c r="G55" s="10" t="s">
        <v>30</v>
      </c>
      <c r="H55" s="10" t="s">
        <v>31</v>
      </c>
      <c r="I55" s="10" t="s">
        <v>31</v>
      </c>
      <c r="J55" s="10" t="n">
        <v>2</v>
      </c>
      <c r="K55" s="11" t="s">
        <v>108</v>
      </c>
    </row>
    <row r="56" customFormat="false" ht="15" hidden="false" customHeight="false" outlineLevel="0" collapsed="false">
      <c r="A56" s="10" t="n">
        <v>55</v>
      </c>
      <c r="B56" s="11" t="s">
        <v>117</v>
      </c>
      <c r="C56" s="10" t="s">
        <v>63</v>
      </c>
      <c r="D56" s="10" t="s">
        <v>47</v>
      </c>
      <c r="E56" s="10" t="s">
        <v>36</v>
      </c>
      <c r="F56" s="10" t="s">
        <v>60</v>
      </c>
      <c r="G56" s="10" t="s">
        <v>30</v>
      </c>
      <c r="H56" s="10" t="s">
        <v>31</v>
      </c>
      <c r="I56" s="10" t="s">
        <v>38</v>
      </c>
      <c r="J56" s="10" t="n">
        <v>2</v>
      </c>
      <c r="K56" s="11" t="s">
        <v>61</v>
      </c>
    </row>
    <row r="57" customFormat="false" ht="15" hidden="false" customHeight="false" outlineLevel="0" collapsed="false">
      <c r="A57" s="7" t="n">
        <v>56</v>
      </c>
      <c r="B57" s="8" t="s">
        <v>118</v>
      </c>
      <c r="C57" s="7" t="s">
        <v>63</v>
      </c>
      <c r="D57" s="7" t="s">
        <v>51</v>
      </c>
      <c r="E57" s="7" t="s">
        <v>36</v>
      </c>
      <c r="F57" s="7" t="s">
        <v>37</v>
      </c>
      <c r="G57" s="7" t="s">
        <v>30</v>
      </c>
      <c r="H57" s="7" t="s">
        <v>38</v>
      </c>
      <c r="I57" s="7" t="s">
        <v>31</v>
      </c>
      <c r="J57" s="7" t="n">
        <v>1</v>
      </c>
      <c r="K57" s="8" t="s">
        <v>52</v>
      </c>
    </row>
    <row r="58" customFormat="false" ht="15" hidden="false" customHeight="false" outlineLevel="0" collapsed="false">
      <c r="A58" s="7" t="n">
        <v>57</v>
      </c>
      <c r="B58" s="8" t="s">
        <v>119</v>
      </c>
      <c r="C58" s="7" t="s">
        <v>63</v>
      </c>
      <c r="D58" s="7" t="s">
        <v>51</v>
      </c>
      <c r="E58" s="7" t="s">
        <v>36</v>
      </c>
      <c r="F58" s="7" t="s">
        <v>37</v>
      </c>
      <c r="G58" s="7" t="s">
        <v>81</v>
      </c>
      <c r="H58" s="7" t="s">
        <v>31</v>
      </c>
      <c r="I58" s="7" t="s">
        <v>32</v>
      </c>
      <c r="J58" s="7" t="n">
        <v>1</v>
      </c>
      <c r="K58" s="8" t="s">
        <v>52</v>
      </c>
    </row>
    <row r="59" customFormat="false" ht="15" hidden="false" customHeight="false" outlineLevel="0" collapsed="false">
      <c r="A59" s="10" t="n">
        <v>58</v>
      </c>
      <c r="B59" s="11" t="s">
        <v>120</v>
      </c>
      <c r="C59" s="10" t="s">
        <v>63</v>
      </c>
      <c r="D59" s="10" t="s">
        <v>51</v>
      </c>
      <c r="E59" s="10" t="s">
        <v>36</v>
      </c>
      <c r="F59" s="10" t="s">
        <v>37</v>
      </c>
      <c r="G59" s="10" t="s">
        <v>30</v>
      </c>
      <c r="H59" s="10" t="s">
        <v>31</v>
      </c>
      <c r="I59" s="10" t="s">
        <v>31</v>
      </c>
      <c r="J59" s="10" t="n">
        <v>2</v>
      </c>
      <c r="K59" s="11" t="s">
        <v>108</v>
      </c>
    </row>
    <row r="60" customFormat="false" ht="15" hidden="false" customHeight="false" outlineLevel="0" collapsed="false">
      <c r="A60" s="10" t="n">
        <v>59</v>
      </c>
      <c r="B60" s="11" t="s">
        <v>121</v>
      </c>
      <c r="C60" s="10" t="s">
        <v>63</v>
      </c>
      <c r="D60" s="10" t="s">
        <v>51</v>
      </c>
      <c r="E60" s="10" t="s">
        <v>36</v>
      </c>
      <c r="F60" s="10" t="s">
        <v>37</v>
      </c>
      <c r="G60" s="10" t="s">
        <v>30</v>
      </c>
      <c r="H60" s="10" t="s">
        <v>31</v>
      </c>
      <c r="I60" s="10" t="s">
        <v>31</v>
      </c>
      <c r="J60" s="10" t="n">
        <v>2</v>
      </c>
      <c r="K60" s="11" t="s">
        <v>39</v>
      </c>
    </row>
    <row r="61" customFormat="false" ht="15" hidden="false" customHeight="false" outlineLevel="0" collapsed="false">
      <c r="A61" s="10" t="n">
        <v>60</v>
      </c>
      <c r="B61" s="11" t="s">
        <v>122</v>
      </c>
      <c r="C61" s="10" t="s">
        <v>63</v>
      </c>
      <c r="D61" s="10" t="s">
        <v>51</v>
      </c>
      <c r="E61" s="10" t="s">
        <v>36</v>
      </c>
      <c r="F61" s="10" t="s">
        <v>37</v>
      </c>
      <c r="G61" s="10" t="s">
        <v>30</v>
      </c>
      <c r="H61" s="10" t="s">
        <v>32</v>
      </c>
      <c r="I61" s="10" t="s">
        <v>32</v>
      </c>
      <c r="J61" s="10" t="n">
        <v>3</v>
      </c>
      <c r="K61" s="11" t="s">
        <v>39</v>
      </c>
    </row>
    <row r="62" customFormat="false" ht="15" hidden="false" customHeight="false" outlineLevel="0" collapsed="false">
      <c r="A62" s="7" t="n">
        <v>61</v>
      </c>
      <c r="B62" s="8" t="s">
        <v>123</v>
      </c>
      <c r="C62" s="7" t="s">
        <v>63</v>
      </c>
      <c r="D62" s="7" t="s">
        <v>51</v>
      </c>
      <c r="E62" s="7" t="s">
        <v>36</v>
      </c>
      <c r="F62" s="7" t="s">
        <v>37</v>
      </c>
      <c r="G62" s="7" t="s">
        <v>30</v>
      </c>
      <c r="H62" s="7" t="s">
        <v>31</v>
      </c>
      <c r="I62" s="7" t="s">
        <v>32</v>
      </c>
      <c r="J62" s="7" t="n">
        <v>1</v>
      </c>
      <c r="K62" s="8" t="s">
        <v>39</v>
      </c>
    </row>
    <row r="63" customFormat="false" ht="15" hidden="false" customHeight="false" outlineLevel="0" collapsed="false">
      <c r="A63" s="10" t="n">
        <v>62</v>
      </c>
      <c r="B63" s="11" t="s">
        <v>124</v>
      </c>
      <c r="C63" s="10" t="s">
        <v>63</v>
      </c>
      <c r="D63" s="10" t="s">
        <v>56</v>
      </c>
      <c r="E63" s="10" t="s">
        <v>36</v>
      </c>
      <c r="F63" s="10" t="s">
        <v>37</v>
      </c>
      <c r="G63" s="10" t="s">
        <v>30</v>
      </c>
      <c r="H63" s="10" t="s">
        <v>32</v>
      </c>
      <c r="I63" s="10" t="s">
        <v>32</v>
      </c>
      <c r="J63" s="10" t="n">
        <v>2</v>
      </c>
      <c r="K63" s="11" t="s">
        <v>57</v>
      </c>
    </row>
    <row r="64" customFormat="false" ht="15" hidden="false" customHeight="false" outlineLevel="0" collapsed="false">
      <c r="A64" s="10" t="n">
        <v>63</v>
      </c>
      <c r="B64" s="11" t="s">
        <v>125</v>
      </c>
      <c r="C64" s="10" t="s">
        <v>63</v>
      </c>
      <c r="D64" s="10" t="s">
        <v>56</v>
      </c>
      <c r="E64" s="10" t="s">
        <v>36</v>
      </c>
      <c r="F64" s="10" t="s">
        <v>60</v>
      </c>
      <c r="G64" s="10" t="s">
        <v>30</v>
      </c>
      <c r="H64" s="10" t="s">
        <v>32</v>
      </c>
      <c r="I64" s="10" t="s">
        <v>31</v>
      </c>
      <c r="J64" s="10" t="n">
        <v>2</v>
      </c>
      <c r="K64" s="11" t="s">
        <v>57</v>
      </c>
    </row>
    <row r="65" customFormat="false" ht="15" hidden="false" customHeight="false" outlineLevel="0" collapsed="false">
      <c r="A65" s="10" t="n">
        <v>64</v>
      </c>
      <c r="B65" s="11" t="s">
        <v>126</v>
      </c>
      <c r="C65" s="10" t="s">
        <v>63</v>
      </c>
      <c r="D65" s="10" t="s">
        <v>56</v>
      </c>
      <c r="E65" s="10" t="s">
        <v>36</v>
      </c>
      <c r="F65" s="10" t="s">
        <v>37</v>
      </c>
      <c r="G65" s="10" t="s">
        <v>30</v>
      </c>
      <c r="H65" s="10" t="s">
        <v>31</v>
      </c>
      <c r="I65" s="10" t="s">
        <v>31</v>
      </c>
      <c r="J65" s="10" t="n">
        <v>2</v>
      </c>
      <c r="K65" s="11" t="s">
        <v>39</v>
      </c>
    </row>
    <row r="66" customFormat="false" ht="15" hidden="false" customHeight="false" outlineLevel="0" collapsed="false">
      <c r="A66" s="10" t="n">
        <v>65</v>
      </c>
      <c r="B66" s="11" t="s">
        <v>127</v>
      </c>
      <c r="C66" s="10" t="s">
        <v>63</v>
      </c>
      <c r="D66" s="10" t="s">
        <v>56</v>
      </c>
      <c r="E66" s="10" t="s">
        <v>36</v>
      </c>
      <c r="F66" s="10" t="s">
        <v>37</v>
      </c>
      <c r="G66" s="10" t="s">
        <v>30</v>
      </c>
      <c r="H66" s="10" t="s">
        <v>32</v>
      </c>
      <c r="I66" s="10" t="s">
        <v>32</v>
      </c>
      <c r="J66" s="10" t="n">
        <v>3</v>
      </c>
      <c r="K66" s="11" t="s">
        <v>39</v>
      </c>
    </row>
    <row r="67" customFormat="false" ht="15" hidden="false" customHeight="false" outlineLevel="0" collapsed="false">
      <c r="A67" s="10" t="n">
        <v>66</v>
      </c>
      <c r="B67" s="11" t="s">
        <v>128</v>
      </c>
      <c r="C67" s="10" t="s">
        <v>63</v>
      </c>
      <c r="D67" s="10" t="s">
        <v>56</v>
      </c>
      <c r="E67" s="10" t="s">
        <v>36</v>
      </c>
      <c r="F67" s="10" t="s">
        <v>37</v>
      </c>
      <c r="G67" s="10" t="s">
        <v>81</v>
      </c>
      <c r="H67" s="10" t="s">
        <v>32</v>
      </c>
      <c r="I67" s="10" t="s">
        <v>32</v>
      </c>
      <c r="J67" s="10" t="n">
        <v>3</v>
      </c>
      <c r="K67" s="11" t="s">
        <v>57</v>
      </c>
    </row>
    <row r="68" customFormat="false" ht="15" hidden="false" customHeight="false" outlineLevel="0" collapsed="false">
      <c r="A68" s="7" t="n">
        <v>67</v>
      </c>
      <c r="B68" s="8" t="s">
        <v>129</v>
      </c>
      <c r="C68" s="7" t="s">
        <v>63</v>
      </c>
      <c r="D68" s="7" t="s">
        <v>44</v>
      </c>
      <c r="E68" s="7" t="s">
        <v>36</v>
      </c>
      <c r="F68" s="7" t="s">
        <v>37</v>
      </c>
      <c r="G68" s="7" t="s">
        <v>30</v>
      </c>
      <c r="H68" s="7" t="s">
        <v>38</v>
      </c>
      <c r="I68" s="7" t="s">
        <v>31</v>
      </c>
      <c r="J68" s="7" t="n">
        <v>1</v>
      </c>
      <c r="K68" s="8" t="s">
        <v>45</v>
      </c>
    </row>
    <row r="69" customFormat="false" ht="15" hidden="false" customHeight="false" outlineLevel="0" collapsed="false">
      <c r="A69" s="7" t="n">
        <v>68</v>
      </c>
      <c r="B69" s="8" t="s">
        <v>130</v>
      </c>
      <c r="C69" s="7" t="s">
        <v>63</v>
      </c>
      <c r="D69" s="7" t="s">
        <v>44</v>
      </c>
      <c r="E69" s="7" t="s">
        <v>36</v>
      </c>
      <c r="F69" s="7" t="s">
        <v>37</v>
      </c>
      <c r="G69" s="7" t="s">
        <v>30</v>
      </c>
      <c r="H69" s="7" t="s">
        <v>48</v>
      </c>
      <c r="I69" s="7" t="s">
        <v>38</v>
      </c>
      <c r="J69" s="7" t="n">
        <v>1</v>
      </c>
      <c r="K69" s="8" t="s">
        <v>45</v>
      </c>
    </row>
    <row r="70" customFormat="false" ht="15" hidden="false" customHeight="false" outlineLevel="0" collapsed="false">
      <c r="A70" s="7" t="n">
        <v>69</v>
      </c>
      <c r="B70" s="8" t="s">
        <v>131</v>
      </c>
      <c r="C70" s="7" t="s">
        <v>63</v>
      </c>
      <c r="D70" s="7" t="s">
        <v>44</v>
      </c>
      <c r="E70" s="7" t="s">
        <v>36</v>
      </c>
      <c r="F70" s="7" t="s">
        <v>60</v>
      </c>
      <c r="G70" s="7" t="s">
        <v>30</v>
      </c>
      <c r="H70" s="7" t="s">
        <v>31</v>
      </c>
      <c r="I70" s="7" t="s">
        <v>31</v>
      </c>
      <c r="J70" s="7" t="n">
        <v>1</v>
      </c>
      <c r="K70" s="8" t="s">
        <v>33</v>
      </c>
    </row>
    <row r="71" customFormat="false" ht="15" hidden="false" customHeight="false" outlineLevel="0" collapsed="false">
      <c r="A71" s="10" t="n">
        <v>70</v>
      </c>
      <c r="B71" s="11" t="s">
        <v>132</v>
      </c>
      <c r="C71" s="10" t="s">
        <v>63</v>
      </c>
      <c r="D71" s="10" t="s">
        <v>44</v>
      </c>
      <c r="E71" s="10" t="s">
        <v>36</v>
      </c>
      <c r="F71" s="10" t="s">
        <v>60</v>
      </c>
      <c r="G71" s="10" t="s">
        <v>30</v>
      </c>
      <c r="H71" s="10" t="s">
        <v>31</v>
      </c>
      <c r="I71" s="10" t="s">
        <v>31</v>
      </c>
      <c r="J71" s="10" t="n">
        <v>2</v>
      </c>
      <c r="K71" s="11" t="s">
        <v>45</v>
      </c>
    </row>
    <row r="72" customFormat="false" ht="15" hidden="false" customHeight="false" outlineLevel="0" collapsed="false">
      <c r="A72" s="10" t="n">
        <v>71</v>
      </c>
      <c r="B72" s="11" t="s">
        <v>133</v>
      </c>
      <c r="C72" s="10" t="s">
        <v>63</v>
      </c>
      <c r="D72" s="10" t="s">
        <v>44</v>
      </c>
      <c r="E72" s="10" t="s">
        <v>36</v>
      </c>
      <c r="F72" s="10" t="s">
        <v>60</v>
      </c>
      <c r="G72" s="10" t="s">
        <v>30</v>
      </c>
      <c r="H72" s="10" t="s">
        <v>31</v>
      </c>
      <c r="I72" s="10" t="s">
        <v>31</v>
      </c>
      <c r="J72" s="10" t="n">
        <v>2</v>
      </c>
      <c r="K72" s="11" t="s">
        <v>45</v>
      </c>
    </row>
    <row r="73" customFormat="false" ht="15" hidden="false" customHeight="false" outlineLevel="0" collapsed="false">
      <c r="A73" s="7" t="n">
        <v>72</v>
      </c>
      <c r="B73" s="8" t="s">
        <v>134</v>
      </c>
      <c r="C73" s="7" t="s">
        <v>63</v>
      </c>
      <c r="D73" s="7" t="s">
        <v>135</v>
      </c>
      <c r="E73" s="7" t="s">
        <v>36</v>
      </c>
      <c r="F73" s="7" t="s">
        <v>37</v>
      </c>
      <c r="G73" s="7" t="s">
        <v>30</v>
      </c>
      <c r="H73" s="7" t="s">
        <v>38</v>
      </c>
      <c r="I73" s="7" t="s">
        <v>31</v>
      </c>
      <c r="J73" s="7" t="n">
        <v>1</v>
      </c>
      <c r="K73" s="8" t="s">
        <v>136</v>
      </c>
    </row>
    <row r="74" customFormat="false" ht="15" hidden="false" customHeight="false" outlineLevel="0" collapsed="false">
      <c r="A74" s="7" t="n">
        <v>73</v>
      </c>
      <c r="B74" s="8" t="s">
        <v>137</v>
      </c>
      <c r="C74" s="7" t="s">
        <v>63</v>
      </c>
      <c r="D74" s="7" t="s">
        <v>135</v>
      </c>
      <c r="E74" s="7" t="s">
        <v>36</v>
      </c>
      <c r="F74" s="7" t="s">
        <v>37</v>
      </c>
      <c r="G74" s="7" t="s">
        <v>30</v>
      </c>
      <c r="H74" s="7" t="s">
        <v>31</v>
      </c>
      <c r="I74" s="7" t="s">
        <v>31</v>
      </c>
      <c r="J74" s="7" t="n">
        <v>1</v>
      </c>
      <c r="K74" s="8" t="s">
        <v>108</v>
      </c>
    </row>
    <row r="75" customFormat="false" ht="15" hidden="false" customHeight="false" outlineLevel="0" collapsed="false">
      <c r="A75" s="10" t="n">
        <v>74</v>
      </c>
      <c r="B75" s="11" t="s">
        <v>138</v>
      </c>
      <c r="C75" s="10" t="s">
        <v>63</v>
      </c>
      <c r="D75" s="10" t="s">
        <v>135</v>
      </c>
      <c r="E75" s="10" t="s">
        <v>36</v>
      </c>
      <c r="F75" s="10" t="s">
        <v>37</v>
      </c>
      <c r="G75" s="10" t="s">
        <v>30</v>
      </c>
      <c r="H75" s="10" t="s">
        <v>31</v>
      </c>
      <c r="I75" s="10" t="s">
        <v>32</v>
      </c>
      <c r="J75" s="10" t="n">
        <v>2</v>
      </c>
      <c r="K75" s="11" t="s">
        <v>39</v>
      </c>
    </row>
    <row r="76" customFormat="false" ht="15" hidden="false" customHeight="false" outlineLevel="0" collapsed="false">
      <c r="A76" s="10" t="n">
        <v>75</v>
      </c>
      <c r="B76" s="11" t="s">
        <v>139</v>
      </c>
      <c r="C76" s="10" t="s">
        <v>63</v>
      </c>
      <c r="D76" s="10" t="s">
        <v>135</v>
      </c>
      <c r="E76" s="10" t="s">
        <v>36</v>
      </c>
      <c r="F76" s="10" t="s">
        <v>37</v>
      </c>
      <c r="G76" s="10" t="s">
        <v>30</v>
      </c>
      <c r="H76" s="10" t="s">
        <v>31</v>
      </c>
      <c r="I76" s="10" t="s">
        <v>31</v>
      </c>
      <c r="J76" s="10" t="n">
        <v>2</v>
      </c>
      <c r="K76" s="11" t="s">
        <v>39</v>
      </c>
    </row>
    <row r="77" customFormat="false" ht="15" hidden="false" customHeight="false" outlineLevel="0" collapsed="false">
      <c r="A77" s="10" t="n">
        <v>76</v>
      </c>
      <c r="B77" s="11" t="s">
        <v>140</v>
      </c>
      <c r="C77" s="10" t="s">
        <v>63</v>
      </c>
      <c r="D77" s="10" t="s">
        <v>135</v>
      </c>
      <c r="E77" s="10" t="s">
        <v>36</v>
      </c>
      <c r="F77" s="10" t="s">
        <v>37</v>
      </c>
      <c r="G77" s="10" t="s">
        <v>30</v>
      </c>
      <c r="H77" s="10" t="s">
        <v>32</v>
      </c>
      <c r="I77" s="10" t="s">
        <v>32</v>
      </c>
      <c r="J77" s="10" t="n">
        <v>3</v>
      </c>
      <c r="K77" s="11" t="s">
        <v>39</v>
      </c>
    </row>
    <row r="78" customFormat="false" ht="15" hidden="false" customHeight="false" outlineLevel="0" collapsed="false">
      <c r="A78" s="10" t="n">
        <v>77</v>
      </c>
      <c r="B78" s="11" t="s">
        <v>141</v>
      </c>
      <c r="C78" s="10" t="s">
        <v>63</v>
      </c>
      <c r="D78" s="10" t="s">
        <v>135</v>
      </c>
      <c r="E78" s="10" t="s">
        <v>36</v>
      </c>
      <c r="F78" s="10" t="s">
        <v>37</v>
      </c>
      <c r="G78" s="10" t="s">
        <v>30</v>
      </c>
      <c r="H78" s="10" t="s">
        <v>32</v>
      </c>
      <c r="I78" s="10" t="s">
        <v>32</v>
      </c>
      <c r="J78" s="10" t="n">
        <v>3</v>
      </c>
      <c r="K78" s="11" t="s">
        <v>112</v>
      </c>
    </row>
    <row r="79" customFormat="false" ht="15" hidden="false" customHeight="false" outlineLevel="0" collapsed="false">
      <c r="A79" s="7" t="n">
        <v>78</v>
      </c>
      <c r="B79" s="8" t="s">
        <v>142</v>
      </c>
      <c r="C79" s="7" t="s">
        <v>63</v>
      </c>
      <c r="D79" s="7" t="s">
        <v>143</v>
      </c>
      <c r="E79" s="7" t="s">
        <v>36</v>
      </c>
      <c r="F79" s="7" t="s">
        <v>37</v>
      </c>
      <c r="G79" s="7" t="s">
        <v>30</v>
      </c>
      <c r="H79" s="7" t="s">
        <v>38</v>
      </c>
      <c r="I79" s="7" t="s">
        <v>38</v>
      </c>
      <c r="J79" s="7" t="n">
        <v>1</v>
      </c>
      <c r="K79" s="8" t="s">
        <v>108</v>
      </c>
    </row>
    <row r="80" customFormat="false" ht="15" hidden="false" customHeight="false" outlineLevel="0" collapsed="false">
      <c r="A80" s="7" t="n">
        <v>79</v>
      </c>
      <c r="B80" s="8" t="s">
        <v>144</v>
      </c>
      <c r="C80" s="7" t="s">
        <v>63</v>
      </c>
      <c r="D80" s="7" t="s">
        <v>143</v>
      </c>
      <c r="E80" s="7" t="s">
        <v>36</v>
      </c>
      <c r="F80" s="7" t="s">
        <v>29</v>
      </c>
      <c r="G80" s="7" t="s">
        <v>30</v>
      </c>
      <c r="H80" s="7" t="s">
        <v>31</v>
      </c>
      <c r="I80" s="7" t="s">
        <v>32</v>
      </c>
      <c r="J80" s="7" t="n">
        <v>1</v>
      </c>
      <c r="K80" s="8" t="s">
        <v>108</v>
      </c>
    </row>
    <row r="81" customFormat="false" ht="15" hidden="false" customHeight="false" outlineLevel="0" collapsed="false">
      <c r="A81" s="10" t="n">
        <v>80</v>
      </c>
      <c r="B81" s="11" t="s">
        <v>145</v>
      </c>
      <c r="C81" s="10" t="s">
        <v>63</v>
      </c>
      <c r="D81" s="10" t="s">
        <v>143</v>
      </c>
      <c r="E81" s="10" t="s">
        <v>36</v>
      </c>
      <c r="F81" s="10" t="s">
        <v>60</v>
      </c>
      <c r="G81" s="10" t="s">
        <v>30</v>
      </c>
      <c r="H81" s="10" t="s">
        <v>38</v>
      </c>
      <c r="I81" s="10" t="s">
        <v>38</v>
      </c>
      <c r="J81" s="10" t="n">
        <v>2</v>
      </c>
      <c r="K81" s="11" t="s">
        <v>108</v>
      </c>
    </row>
    <row r="82" customFormat="false" ht="15" hidden="false" customHeight="false" outlineLevel="0" collapsed="false">
      <c r="A82" s="7" t="n">
        <v>81</v>
      </c>
      <c r="B82" s="8" t="s">
        <v>146</v>
      </c>
      <c r="C82" s="7" t="s">
        <v>63</v>
      </c>
      <c r="D82" s="7" t="s">
        <v>143</v>
      </c>
      <c r="E82" s="7" t="s">
        <v>36</v>
      </c>
      <c r="F82" s="7" t="s">
        <v>60</v>
      </c>
      <c r="G82" s="7" t="s">
        <v>30</v>
      </c>
      <c r="H82" s="7" t="s">
        <v>31</v>
      </c>
      <c r="I82" s="7" t="s">
        <v>31</v>
      </c>
      <c r="J82" s="7" t="n">
        <v>1</v>
      </c>
      <c r="K82" s="8" t="s">
        <v>108</v>
      </c>
    </row>
    <row r="83" customFormat="false" ht="15" hidden="false" customHeight="false" outlineLevel="0" collapsed="false">
      <c r="A83" s="10" t="n">
        <v>82</v>
      </c>
      <c r="B83" s="11" t="s">
        <v>147</v>
      </c>
      <c r="C83" s="10" t="s">
        <v>63</v>
      </c>
      <c r="D83" s="10" t="s">
        <v>143</v>
      </c>
      <c r="E83" s="10" t="s">
        <v>36</v>
      </c>
      <c r="F83" s="10" t="s">
        <v>60</v>
      </c>
      <c r="G83" s="10" t="s">
        <v>81</v>
      </c>
      <c r="H83" s="10" t="s">
        <v>31</v>
      </c>
      <c r="I83" s="10" t="s">
        <v>31</v>
      </c>
      <c r="J83" s="10" t="n">
        <v>2</v>
      </c>
      <c r="K83" s="11" t="s">
        <v>108</v>
      </c>
    </row>
    <row r="84" customFormat="false" ht="15" hidden="false" customHeight="false" outlineLevel="0" collapsed="false">
      <c r="A84" s="7" t="n">
        <v>83</v>
      </c>
      <c r="B84" s="8" t="s">
        <v>148</v>
      </c>
      <c r="C84" s="7" t="s">
        <v>63</v>
      </c>
      <c r="D84" s="7" t="s">
        <v>143</v>
      </c>
      <c r="E84" s="7" t="s">
        <v>36</v>
      </c>
      <c r="F84" s="7" t="s">
        <v>37</v>
      </c>
      <c r="G84" s="7" t="s">
        <v>30</v>
      </c>
      <c r="H84" s="7" t="s">
        <v>32</v>
      </c>
      <c r="I84" s="7" t="s">
        <v>32</v>
      </c>
      <c r="J84" s="7" t="n">
        <v>1</v>
      </c>
      <c r="K84" s="8" t="s">
        <v>108</v>
      </c>
    </row>
    <row r="85" customFormat="false" ht="15" hidden="false" customHeight="false" outlineLevel="0" collapsed="false">
      <c r="A85" s="10" t="n">
        <v>84</v>
      </c>
      <c r="B85" s="11" t="s">
        <v>149</v>
      </c>
      <c r="C85" s="10" t="s">
        <v>63</v>
      </c>
      <c r="D85" s="10" t="s">
        <v>143</v>
      </c>
      <c r="E85" s="10" t="s">
        <v>36</v>
      </c>
      <c r="F85" s="10" t="s">
        <v>60</v>
      </c>
      <c r="G85" s="10" t="s">
        <v>81</v>
      </c>
      <c r="H85" s="10" t="s">
        <v>32</v>
      </c>
      <c r="I85" s="10" t="s">
        <v>32</v>
      </c>
      <c r="J85" s="10" t="n">
        <v>2</v>
      </c>
      <c r="K85" s="11" t="s">
        <v>108</v>
      </c>
    </row>
    <row r="86" customFormat="false" ht="15" hidden="false" customHeight="false" outlineLevel="0" collapsed="false">
      <c r="A86" s="10" t="n">
        <v>85</v>
      </c>
      <c r="B86" s="11" t="s">
        <v>150</v>
      </c>
      <c r="C86" s="10" t="s">
        <v>63</v>
      </c>
      <c r="D86" s="10" t="s">
        <v>143</v>
      </c>
      <c r="E86" s="10" t="s">
        <v>36</v>
      </c>
      <c r="F86" s="10" t="s">
        <v>60</v>
      </c>
      <c r="G86" s="10" t="s">
        <v>81</v>
      </c>
      <c r="H86" s="10" t="s">
        <v>32</v>
      </c>
      <c r="I86" s="10" t="s">
        <v>32</v>
      </c>
      <c r="J86" s="10" t="n">
        <v>3</v>
      </c>
      <c r="K86" s="11" t="s">
        <v>108</v>
      </c>
    </row>
    <row r="87" customFormat="false" ht="15" hidden="false" customHeight="false" outlineLevel="0" collapsed="false">
      <c r="A87" s="7" t="n">
        <v>86</v>
      </c>
      <c r="B87" s="8" t="s">
        <v>151</v>
      </c>
      <c r="C87" s="7" t="s">
        <v>63</v>
      </c>
      <c r="D87" s="7" t="s">
        <v>152</v>
      </c>
      <c r="E87" s="7" t="s">
        <v>87</v>
      </c>
      <c r="F87" s="7" t="s">
        <v>60</v>
      </c>
      <c r="G87" s="7" t="s">
        <v>30</v>
      </c>
      <c r="H87" s="7" t="s">
        <v>31</v>
      </c>
      <c r="I87" s="7" t="s">
        <v>31</v>
      </c>
      <c r="J87" s="7" t="n">
        <v>1</v>
      </c>
      <c r="K87" s="8" t="s">
        <v>112</v>
      </c>
    </row>
    <row r="88" customFormat="false" ht="15" hidden="false" customHeight="false" outlineLevel="0" collapsed="false">
      <c r="A88" s="7" t="n">
        <v>87</v>
      </c>
      <c r="B88" s="8" t="s">
        <v>153</v>
      </c>
      <c r="C88" s="7" t="s">
        <v>63</v>
      </c>
      <c r="D88" s="7" t="s">
        <v>152</v>
      </c>
      <c r="E88" s="7" t="s">
        <v>87</v>
      </c>
      <c r="F88" s="7" t="s">
        <v>29</v>
      </c>
      <c r="G88" s="7" t="s">
        <v>30</v>
      </c>
      <c r="H88" s="7" t="s">
        <v>32</v>
      </c>
      <c r="I88" s="7" t="s">
        <v>32</v>
      </c>
      <c r="J88" s="7" t="n">
        <v>1</v>
      </c>
      <c r="K88" s="8" t="s">
        <v>112</v>
      </c>
    </row>
    <row r="89" customFormat="false" ht="15" hidden="false" customHeight="false" outlineLevel="0" collapsed="false">
      <c r="A89" s="7" t="n">
        <v>88</v>
      </c>
      <c r="B89" s="8" t="s">
        <v>154</v>
      </c>
      <c r="C89" s="7" t="s">
        <v>63</v>
      </c>
      <c r="D89" s="7" t="s">
        <v>155</v>
      </c>
      <c r="E89" s="7" t="s">
        <v>87</v>
      </c>
      <c r="F89" s="7" t="s">
        <v>37</v>
      </c>
      <c r="G89" s="7" t="s">
        <v>30</v>
      </c>
      <c r="H89" s="7" t="s">
        <v>31</v>
      </c>
      <c r="I89" s="7" t="s">
        <v>32</v>
      </c>
      <c r="J89" s="7" t="n">
        <v>1</v>
      </c>
      <c r="K89" s="8" t="s">
        <v>156</v>
      </c>
    </row>
    <row r="90" customFormat="false" ht="15" hidden="false" customHeight="false" outlineLevel="0" collapsed="false">
      <c r="A90" s="7" t="n">
        <v>89</v>
      </c>
      <c r="B90" s="8" t="s">
        <v>157</v>
      </c>
      <c r="C90" s="7" t="s">
        <v>63</v>
      </c>
      <c r="D90" s="7" t="s">
        <v>155</v>
      </c>
      <c r="E90" s="7" t="s">
        <v>87</v>
      </c>
      <c r="F90" s="7" t="s">
        <v>37</v>
      </c>
      <c r="G90" s="7" t="s">
        <v>30</v>
      </c>
      <c r="H90" s="7" t="s">
        <v>31</v>
      </c>
      <c r="I90" s="7" t="s">
        <v>32</v>
      </c>
      <c r="J90" s="7" t="n">
        <v>1</v>
      </c>
      <c r="K90" s="8" t="s">
        <v>156</v>
      </c>
    </row>
    <row r="91" customFormat="false" ht="15" hidden="false" customHeight="false" outlineLevel="0" collapsed="false">
      <c r="A91" s="10" t="n">
        <v>90</v>
      </c>
      <c r="B91" s="11" t="s">
        <v>158</v>
      </c>
      <c r="C91" s="10" t="s">
        <v>63</v>
      </c>
      <c r="D91" s="10" t="s">
        <v>155</v>
      </c>
      <c r="E91" s="10" t="s">
        <v>87</v>
      </c>
      <c r="F91" s="10" t="s">
        <v>29</v>
      </c>
      <c r="G91" s="10" t="s">
        <v>30</v>
      </c>
      <c r="H91" s="10" t="s">
        <v>32</v>
      </c>
      <c r="I91" s="10" t="s">
        <v>32</v>
      </c>
      <c r="J91" s="10" t="n">
        <v>2</v>
      </c>
      <c r="K91" s="11" t="s">
        <v>42</v>
      </c>
    </row>
    <row r="92" customFormat="false" ht="15" hidden="false" customHeight="false" outlineLevel="0" collapsed="false">
      <c r="A92" s="10" t="n">
        <v>91</v>
      </c>
      <c r="B92" s="11" t="s">
        <v>159</v>
      </c>
      <c r="C92" s="10" t="s">
        <v>63</v>
      </c>
      <c r="D92" s="10" t="s">
        <v>155</v>
      </c>
      <c r="E92" s="10" t="s">
        <v>87</v>
      </c>
      <c r="F92" s="10" t="s">
        <v>29</v>
      </c>
      <c r="G92" s="10" t="s">
        <v>30</v>
      </c>
      <c r="H92" s="10" t="s">
        <v>32</v>
      </c>
      <c r="I92" s="10" t="s">
        <v>32</v>
      </c>
      <c r="J92" s="10" t="n">
        <v>2</v>
      </c>
      <c r="K92" s="11" t="s">
        <v>42</v>
      </c>
    </row>
    <row r="93" customFormat="false" ht="15" hidden="false" customHeight="false" outlineLevel="0" collapsed="false">
      <c r="A93" s="10" t="n">
        <v>92</v>
      </c>
      <c r="B93" s="11" t="s">
        <v>160</v>
      </c>
      <c r="C93" s="10" t="s">
        <v>63</v>
      </c>
      <c r="D93" s="10" t="s">
        <v>152</v>
      </c>
      <c r="E93" s="10" t="s">
        <v>87</v>
      </c>
      <c r="F93" s="10" t="s">
        <v>60</v>
      </c>
      <c r="G93" s="10" t="s">
        <v>30</v>
      </c>
      <c r="H93" s="10" t="s">
        <v>31</v>
      </c>
      <c r="I93" s="10" t="s">
        <v>31</v>
      </c>
      <c r="J93" s="10" t="n">
        <v>3</v>
      </c>
      <c r="K93" s="11" t="s">
        <v>161</v>
      </c>
    </row>
    <row r="94" customFormat="false" ht="15" hidden="false" customHeight="false" outlineLevel="0" collapsed="false">
      <c r="A94" s="10" t="n">
        <v>93</v>
      </c>
      <c r="B94" s="11" t="s">
        <v>162</v>
      </c>
      <c r="C94" s="10" t="s">
        <v>63</v>
      </c>
      <c r="D94" s="10" t="s">
        <v>155</v>
      </c>
      <c r="E94" s="10" t="s">
        <v>87</v>
      </c>
      <c r="F94" s="10" t="s">
        <v>37</v>
      </c>
      <c r="G94" s="10" t="s">
        <v>30</v>
      </c>
      <c r="H94" s="10" t="s">
        <v>32</v>
      </c>
      <c r="I94" s="10" t="s">
        <v>32</v>
      </c>
      <c r="J94" s="10" t="n">
        <v>2</v>
      </c>
      <c r="K94" s="11" t="s">
        <v>156</v>
      </c>
    </row>
    <row r="95" customFormat="false" ht="15" hidden="false" customHeight="false" outlineLevel="0" collapsed="false">
      <c r="A95" s="10" t="n">
        <v>94</v>
      </c>
      <c r="B95" s="11" t="s">
        <v>163</v>
      </c>
      <c r="C95" s="10" t="s">
        <v>63</v>
      </c>
      <c r="D95" s="10" t="s">
        <v>164</v>
      </c>
      <c r="E95" s="10" t="s">
        <v>59</v>
      </c>
      <c r="F95" s="10" t="s">
        <v>37</v>
      </c>
      <c r="G95" s="10" t="s">
        <v>30</v>
      </c>
      <c r="H95" s="10" t="s">
        <v>31</v>
      </c>
      <c r="I95" s="10" t="s">
        <v>32</v>
      </c>
      <c r="J95" s="10" t="n">
        <v>2</v>
      </c>
      <c r="K95" s="11" t="s">
        <v>165</v>
      </c>
    </row>
    <row r="96" customFormat="false" ht="15" hidden="false" customHeight="false" outlineLevel="0" collapsed="false">
      <c r="A96" s="10" t="n">
        <v>95</v>
      </c>
      <c r="B96" s="11" t="s">
        <v>166</v>
      </c>
      <c r="C96" s="10" t="s">
        <v>63</v>
      </c>
      <c r="D96" s="10" t="s">
        <v>164</v>
      </c>
      <c r="E96" s="10" t="s">
        <v>59</v>
      </c>
      <c r="F96" s="10" t="s">
        <v>37</v>
      </c>
      <c r="G96" s="10" t="s">
        <v>30</v>
      </c>
      <c r="H96" s="10" t="s">
        <v>31</v>
      </c>
      <c r="I96" s="10" t="s">
        <v>32</v>
      </c>
      <c r="J96" s="10" t="n">
        <v>2</v>
      </c>
      <c r="K96" s="11" t="s">
        <v>61</v>
      </c>
    </row>
    <row r="97" customFormat="false" ht="15" hidden="false" customHeight="false" outlineLevel="0" collapsed="false">
      <c r="A97" s="10" t="n">
        <v>96</v>
      </c>
      <c r="B97" s="11" t="s">
        <v>167</v>
      </c>
      <c r="C97" s="10" t="s">
        <v>63</v>
      </c>
      <c r="D97" s="10" t="s">
        <v>164</v>
      </c>
      <c r="E97" s="10" t="s">
        <v>59</v>
      </c>
      <c r="F97" s="10" t="s">
        <v>37</v>
      </c>
      <c r="G97" s="10" t="s">
        <v>30</v>
      </c>
      <c r="H97" s="10" t="s">
        <v>31</v>
      </c>
      <c r="I97" s="10" t="s">
        <v>31</v>
      </c>
      <c r="J97" s="10" t="n">
        <v>2</v>
      </c>
      <c r="K97" s="11" t="s">
        <v>61</v>
      </c>
    </row>
    <row r="98" customFormat="false" ht="15" hidden="false" customHeight="false" outlineLevel="0" collapsed="false">
      <c r="A98" s="10" t="n">
        <v>97</v>
      </c>
      <c r="B98" s="11" t="s">
        <v>168</v>
      </c>
      <c r="C98" s="10" t="s">
        <v>63</v>
      </c>
      <c r="D98" s="10" t="s">
        <v>164</v>
      </c>
      <c r="E98" s="10" t="s">
        <v>59</v>
      </c>
      <c r="F98" s="10" t="s">
        <v>37</v>
      </c>
      <c r="G98" s="10" t="s">
        <v>30</v>
      </c>
      <c r="H98" s="10" t="s">
        <v>32</v>
      </c>
      <c r="I98" s="10" t="s">
        <v>32</v>
      </c>
      <c r="J98" s="10" t="n">
        <v>3</v>
      </c>
      <c r="K98" s="11" t="s">
        <v>108</v>
      </c>
    </row>
    <row r="99" customFormat="false" ht="15" hidden="false" customHeight="false" outlineLevel="0" collapsed="false">
      <c r="A99" s="10" t="n">
        <v>98</v>
      </c>
      <c r="B99" s="11" t="s">
        <v>169</v>
      </c>
      <c r="C99" s="10" t="s">
        <v>63</v>
      </c>
      <c r="D99" s="10" t="s">
        <v>164</v>
      </c>
      <c r="E99" s="10" t="s">
        <v>59</v>
      </c>
      <c r="F99" s="10" t="s">
        <v>60</v>
      </c>
      <c r="G99" s="10" t="s">
        <v>30</v>
      </c>
      <c r="H99" s="10" t="s">
        <v>32</v>
      </c>
      <c r="I99" s="10" t="s">
        <v>32</v>
      </c>
      <c r="J99" s="10" t="n">
        <v>2</v>
      </c>
      <c r="K99" s="11" t="s">
        <v>165</v>
      </c>
    </row>
    <row r="100" customFormat="false" ht="15" hidden="false" customHeight="false" outlineLevel="0" collapsed="false">
      <c r="A100" s="10" t="n">
        <v>99</v>
      </c>
      <c r="B100" s="11" t="s">
        <v>170</v>
      </c>
      <c r="C100" s="10" t="s">
        <v>63</v>
      </c>
      <c r="D100" s="10" t="s">
        <v>164</v>
      </c>
      <c r="E100" s="10" t="s">
        <v>59</v>
      </c>
      <c r="F100" s="10" t="s">
        <v>37</v>
      </c>
      <c r="G100" s="10" t="s">
        <v>30</v>
      </c>
      <c r="H100" s="10" t="s">
        <v>31</v>
      </c>
      <c r="I100" s="10" t="s">
        <v>31</v>
      </c>
      <c r="J100" s="10" t="n">
        <v>2</v>
      </c>
      <c r="K100" s="11" t="s">
        <v>61</v>
      </c>
    </row>
    <row r="102" customFormat="false" ht="15" hidden="false" customHeight="false" outlineLevel="0" collapsed="false">
      <c r="A102" s="13" t="s">
        <v>171</v>
      </c>
      <c r="B102" s="13"/>
      <c r="C102" s="13"/>
      <c r="D102" s="13"/>
      <c r="E102" s="13"/>
      <c r="F102" s="13"/>
      <c r="G102" s="13"/>
      <c r="H102" s="13"/>
      <c r="I102" s="13"/>
      <c r="J102" s="13"/>
      <c r="K102" s="13"/>
    </row>
  </sheetData>
  <mergeCells count="1">
    <mergeCell ref="A102:K10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3" min="2" style="0" width="14"/>
    <col collapsed="false" customWidth="true" hidden="false" outlineLevel="0" max="4" min="4" style="0" width="46"/>
  </cols>
  <sheetData>
    <row r="1" customFormat="false" ht="18.55" hidden="false" customHeight="false" outlineLevel="0" collapsed="false">
      <c r="A1" s="14" t="s">
        <v>172</v>
      </c>
      <c r="B1" s="14"/>
      <c r="C1" s="14"/>
      <c r="D1" s="14"/>
    </row>
    <row r="2" customFormat="false" ht="15" hidden="false" customHeight="false" outlineLevel="0" collapsed="false">
      <c r="A2" s="15" t="s">
        <v>173</v>
      </c>
      <c r="B2" s="15"/>
      <c r="C2" s="15"/>
      <c r="D2" s="15"/>
    </row>
    <row r="4" customFormat="false" ht="21.75" hidden="false" customHeight="true" outlineLevel="0" collapsed="false">
      <c r="A4" s="16" t="s">
        <v>174</v>
      </c>
      <c r="B4" s="16"/>
      <c r="C4" s="16"/>
      <c r="D4" s="16"/>
    </row>
    <row r="5" customFormat="false" ht="19.5" hidden="false" customHeight="true" outlineLevel="0" collapsed="false">
      <c r="A5" s="17" t="s">
        <v>175</v>
      </c>
      <c r="B5" s="17" t="s">
        <v>176</v>
      </c>
      <c r="C5" s="17" t="s">
        <v>177</v>
      </c>
      <c r="D5" s="17" t="s">
        <v>178</v>
      </c>
    </row>
    <row r="6" customFormat="false" ht="31.5" hidden="false" customHeight="true" outlineLevel="0" collapsed="false">
      <c r="A6" s="18" t="s">
        <v>59</v>
      </c>
      <c r="B6" s="18" t="n">
        <f aca="false">COUNTIF('Keyword Master List'!$E$2:$E$100,A6)</f>
        <v>19</v>
      </c>
      <c r="C6" s="19" t="n">
        <f aca="false">B6/SUM($B$6:$B$10)</f>
        <v>0.191919191919192</v>
      </c>
      <c r="D6" s="20" t="s">
        <v>179</v>
      </c>
    </row>
    <row r="7" customFormat="false" ht="31.5" hidden="false" customHeight="true" outlineLevel="0" collapsed="false">
      <c r="A7" s="18" t="s">
        <v>36</v>
      </c>
      <c r="B7" s="18" t="n">
        <f aca="false">COUNTIF('Keyword Master List'!$E$2:$E$100,A7)</f>
        <v>53</v>
      </c>
      <c r="C7" s="19" t="n">
        <f aca="false">B7/SUM($B$6:$B$10)</f>
        <v>0.535353535353535</v>
      </c>
      <c r="D7" s="20" t="s">
        <v>180</v>
      </c>
    </row>
    <row r="8" customFormat="false" ht="31.5" hidden="false" customHeight="true" outlineLevel="0" collapsed="false">
      <c r="A8" s="18" t="s">
        <v>87</v>
      </c>
      <c r="B8" s="18" t="n">
        <f aca="false">COUNTIF('Keyword Master List'!$E$2:$E$100,A8)</f>
        <v>9</v>
      </c>
      <c r="C8" s="19" t="n">
        <f aca="false">B8/SUM($B$6:$B$10)</f>
        <v>0.0909090909090909</v>
      </c>
      <c r="D8" s="20" t="s">
        <v>181</v>
      </c>
    </row>
    <row r="9" customFormat="false" ht="31.5" hidden="false" customHeight="true" outlineLevel="0" collapsed="false">
      <c r="A9" s="18" t="s">
        <v>41</v>
      </c>
      <c r="B9" s="18" t="n">
        <f aca="false">COUNTIF('Keyword Master List'!$E$2:$E$100,A9)</f>
        <v>11</v>
      </c>
      <c r="C9" s="19" t="n">
        <f aca="false">B9/SUM($B$6:$B$10)</f>
        <v>0.111111111111111</v>
      </c>
      <c r="D9" s="20" t="s">
        <v>182</v>
      </c>
    </row>
    <row r="10" customFormat="false" ht="31.5" hidden="false" customHeight="true" outlineLevel="0" collapsed="false">
      <c r="A10" s="18" t="s">
        <v>28</v>
      </c>
      <c r="B10" s="18" t="n">
        <f aca="false">COUNTIF('Keyword Master List'!$E$2:$E$100,A10)</f>
        <v>7</v>
      </c>
      <c r="C10" s="19" t="n">
        <f aca="false">B10/SUM($B$6:$B$10)</f>
        <v>0.0707070707070707</v>
      </c>
      <c r="D10" s="20" t="s">
        <v>183</v>
      </c>
    </row>
    <row r="12" customFormat="false" ht="21.75" hidden="false" customHeight="true" outlineLevel="0" collapsed="false">
      <c r="A12" s="16" t="s">
        <v>184</v>
      </c>
      <c r="B12" s="16"/>
      <c r="C12" s="16"/>
      <c r="D12" s="16"/>
    </row>
    <row r="13" customFormat="false" ht="19.5" hidden="false" customHeight="true" outlineLevel="0" collapsed="false">
      <c r="A13" s="17" t="s">
        <v>17</v>
      </c>
      <c r="B13" s="17" t="s">
        <v>176</v>
      </c>
      <c r="C13" s="17" t="s">
        <v>177</v>
      </c>
      <c r="D13" s="17" t="s">
        <v>185</v>
      </c>
    </row>
    <row r="14" customFormat="false" ht="15" hidden="false" customHeight="false" outlineLevel="0" collapsed="false">
      <c r="A14" s="18" t="s">
        <v>27</v>
      </c>
      <c r="B14" s="18" t="n">
        <f aca="false">COUNTIF('Keyword Master List'!$D$2:$D$100,A14)</f>
        <v>7</v>
      </c>
      <c r="C14" s="19" t="n">
        <f aca="false">B14/SUM($B$14:$B$26)</f>
        <v>0.0707070707070707</v>
      </c>
      <c r="D14" s="20" t="s">
        <v>71</v>
      </c>
    </row>
    <row r="15" customFormat="false" ht="15" hidden="false" customHeight="false" outlineLevel="0" collapsed="false">
      <c r="A15" s="18" t="s">
        <v>41</v>
      </c>
      <c r="B15" s="18" t="n">
        <f aca="false">COUNTIF('Keyword Master List'!$D$2:$D$100,A15)</f>
        <v>14</v>
      </c>
      <c r="C15" s="19" t="n">
        <f aca="false">B15/SUM($B$14:$B$26)</f>
        <v>0.141414141414141</v>
      </c>
      <c r="D15" s="20" t="s">
        <v>186</v>
      </c>
    </row>
    <row r="16" customFormat="false" ht="15" hidden="false" customHeight="false" outlineLevel="0" collapsed="false">
      <c r="A16" s="18" t="s">
        <v>89</v>
      </c>
      <c r="B16" s="18" t="n">
        <f aca="false">COUNTIF('Keyword Master List'!$D$2:$D$100,A16)</f>
        <v>12</v>
      </c>
      <c r="C16" s="19" t="n">
        <f aca="false">B16/SUM($B$14:$B$26)</f>
        <v>0.121212121212121</v>
      </c>
      <c r="D16" s="20" t="s">
        <v>61</v>
      </c>
    </row>
    <row r="17" customFormat="false" ht="23.85" hidden="false" customHeight="false" outlineLevel="0" collapsed="false">
      <c r="A17" s="18" t="s">
        <v>35</v>
      </c>
      <c r="B17" s="18" t="n">
        <f aca="false">COUNTIF('Keyword Master List'!$D$2:$D$100,A17)</f>
        <v>8</v>
      </c>
      <c r="C17" s="19" t="n">
        <f aca="false">B17/SUM($B$14:$B$26)</f>
        <v>0.0808080808080808</v>
      </c>
      <c r="D17" s="20" t="s">
        <v>187</v>
      </c>
    </row>
    <row r="18" customFormat="false" ht="23.85" hidden="false" customHeight="false" outlineLevel="0" collapsed="false">
      <c r="A18" s="18" t="s">
        <v>47</v>
      </c>
      <c r="B18" s="18" t="n">
        <f aca="false">COUNTIF('Keyword Master List'!$D$2:$D$100,A18)</f>
        <v>8</v>
      </c>
      <c r="C18" s="19" t="n">
        <f aca="false">B18/SUM($B$14:$B$26)</f>
        <v>0.0808080808080808</v>
      </c>
      <c r="D18" s="20" t="s">
        <v>188</v>
      </c>
    </row>
    <row r="19" customFormat="false" ht="23.85" hidden="false" customHeight="false" outlineLevel="0" collapsed="false">
      <c r="A19" s="18" t="s">
        <v>51</v>
      </c>
      <c r="B19" s="18" t="n">
        <f aca="false">COUNTIF('Keyword Master List'!$D$2:$D$100,A19)</f>
        <v>9</v>
      </c>
      <c r="C19" s="19" t="n">
        <f aca="false">B19/SUM($B$14:$B$26)</f>
        <v>0.0909090909090909</v>
      </c>
      <c r="D19" s="20" t="s">
        <v>189</v>
      </c>
    </row>
    <row r="20" customFormat="false" ht="23.85" hidden="false" customHeight="false" outlineLevel="0" collapsed="false">
      <c r="A20" s="18" t="s">
        <v>56</v>
      </c>
      <c r="B20" s="18" t="n">
        <f aca="false">COUNTIF('Keyword Master List'!$D$2:$D$100,A20)</f>
        <v>6</v>
      </c>
      <c r="C20" s="19" t="n">
        <f aca="false">B20/SUM($B$14:$B$26)</f>
        <v>0.0606060606060606</v>
      </c>
      <c r="D20" s="20" t="s">
        <v>190</v>
      </c>
    </row>
    <row r="21" customFormat="false" ht="15" hidden="false" customHeight="false" outlineLevel="0" collapsed="false">
      <c r="A21" s="18" t="s">
        <v>44</v>
      </c>
      <c r="B21" s="18" t="n">
        <f aca="false">COUNTIF('Keyword Master List'!$D$2:$D$100,A21)</f>
        <v>7</v>
      </c>
      <c r="C21" s="19" t="n">
        <f aca="false">B21/SUM($B$14:$B$26)</f>
        <v>0.0707070707070707</v>
      </c>
      <c r="D21" s="20" t="s">
        <v>45</v>
      </c>
    </row>
    <row r="22" customFormat="false" ht="23.85" hidden="false" customHeight="false" outlineLevel="0" collapsed="false">
      <c r="A22" s="18" t="s">
        <v>135</v>
      </c>
      <c r="B22" s="18" t="n">
        <f aca="false">COUNTIF('Keyword Master List'!$D$2:$D$100,A22)</f>
        <v>6</v>
      </c>
      <c r="C22" s="19" t="n">
        <f aca="false">B22/SUM($B$14:$B$26)</f>
        <v>0.0606060606060606</v>
      </c>
      <c r="D22" s="20" t="s">
        <v>191</v>
      </c>
    </row>
    <row r="23" customFormat="false" ht="15" hidden="false" customHeight="false" outlineLevel="0" collapsed="false">
      <c r="A23" s="18" t="s">
        <v>143</v>
      </c>
      <c r="B23" s="18" t="n">
        <f aca="false">COUNTIF('Keyword Master List'!$D$2:$D$100,A23)</f>
        <v>8</v>
      </c>
      <c r="C23" s="19" t="n">
        <f aca="false">B23/SUM($B$14:$B$26)</f>
        <v>0.0808080808080808</v>
      </c>
      <c r="D23" s="20" t="s">
        <v>108</v>
      </c>
    </row>
    <row r="24" customFormat="false" ht="15" hidden="false" customHeight="false" outlineLevel="0" collapsed="false">
      <c r="A24" s="18" t="s">
        <v>152</v>
      </c>
      <c r="B24" s="18" t="n">
        <f aca="false">COUNTIF('Keyword Master List'!$D$2:$D$100,A24)</f>
        <v>3</v>
      </c>
      <c r="C24" s="19" t="n">
        <f aca="false">B24/SUM($B$14:$B$26)</f>
        <v>0.0303030303030303</v>
      </c>
      <c r="D24" s="20" t="s">
        <v>112</v>
      </c>
    </row>
    <row r="25" customFormat="false" ht="15" hidden="false" customHeight="false" outlineLevel="0" collapsed="false">
      <c r="A25" s="18" t="s">
        <v>155</v>
      </c>
      <c r="B25" s="18" t="n">
        <f aca="false">COUNTIF('Keyword Master List'!$D$2:$D$100,A25)</f>
        <v>5</v>
      </c>
      <c r="C25" s="19" t="n">
        <f aca="false">B25/SUM($B$14:$B$26)</f>
        <v>0.0505050505050505</v>
      </c>
      <c r="D25" s="20" t="s">
        <v>156</v>
      </c>
    </row>
    <row r="26" customFormat="false" ht="15" hidden="false" customHeight="false" outlineLevel="0" collapsed="false">
      <c r="A26" s="18" t="s">
        <v>164</v>
      </c>
      <c r="B26" s="18" t="n">
        <f aca="false">COUNTIF('Keyword Master List'!$D$2:$D$100,A26)</f>
        <v>6</v>
      </c>
      <c r="C26" s="19" t="n">
        <f aca="false">B26/SUM($B$14:$B$26)</f>
        <v>0.0606060606060606</v>
      </c>
      <c r="D26" s="20" t="s">
        <v>165</v>
      </c>
    </row>
    <row r="28" customFormat="false" ht="21.75" hidden="false" customHeight="true" outlineLevel="0" collapsed="false">
      <c r="A28" s="16" t="s">
        <v>192</v>
      </c>
      <c r="B28" s="16"/>
      <c r="C28" s="16"/>
      <c r="D28" s="16"/>
    </row>
    <row r="29" customFormat="false" ht="19.5" hidden="false" customHeight="true" outlineLevel="0" collapsed="false">
      <c r="A29" s="17" t="s">
        <v>20</v>
      </c>
      <c r="B29" s="17" t="s">
        <v>176</v>
      </c>
      <c r="C29" s="17" t="s">
        <v>177</v>
      </c>
      <c r="D29" s="17" t="s">
        <v>193</v>
      </c>
    </row>
    <row r="30" customFormat="false" ht="30" hidden="false" customHeight="true" outlineLevel="0" collapsed="false">
      <c r="A30" s="18" t="s">
        <v>30</v>
      </c>
      <c r="B30" s="18" t="n">
        <f aca="false">COUNTIF('Keyword Master List'!$G$2:$G$100,A30)</f>
        <v>88</v>
      </c>
      <c r="C30" s="19" t="n">
        <f aca="false">B30/SUM($B$30:$B$31)</f>
        <v>0.888888888888889</v>
      </c>
      <c r="D30" s="20" t="s">
        <v>194</v>
      </c>
    </row>
    <row r="31" customFormat="false" ht="30" hidden="false" customHeight="true" outlineLevel="0" collapsed="false">
      <c r="A31" s="18" t="s">
        <v>81</v>
      </c>
      <c r="B31" s="18" t="n">
        <f aca="false">COUNTIF('Keyword Master List'!$G$2:$G$100,A31)</f>
        <v>11</v>
      </c>
      <c r="C31" s="19" t="n">
        <f aca="false">B31/SUM($B$30:$B$31)</f>
        <v>0.111111111111111</v>
      </c>
      <c r="D31" s="20" t="s">
        <v>195</v>
      </c>
    </row>
    <row r="33" customFormat="false" ht="21.75" hidden="false" customHeight="true" outlineLevel="0" collapsed="false">
      <c r="A33" s="16" t="s">
        <v>196</v>
      </c>
      <c r="B33" s="16"/>
      <c r="C33" s="16"/>
      <c r="D33" s="16"/>
    </row>
    <row r="34" customFormat="false" ht="19.5" hidden="false" customHeight="true" outlineLevel="0" collapsed="false">
      <c r="A34" s="17" t="s">
        <v>197</v>
      </c>
      <c r="B34" s="17" t="s">
        <v>176</v>
      </c>
      <c r="C34" s="17" t="s">
        <v>177</v>
      </c>
      <c r="D34" s="17" t="s">
        <v>193</v>
      </c>
    </row>
    <row r="35" customFormat="false" ht="30" hidden="false" customHeight="true" outlineLevel="0" collapsed="false">
      <c r="A35" s="18" t="s">
        <v>65</v>
      </c>
      <c r="B35" s="18" t="n">
        <f aca="false">COUNTIF('Keyword Master List'!$F$2:$F$100,A35)</f>
        <v>2</v>
      </c>
      <c r="C35" s="19" t="n">
        <f aca="false">B35/SUM($B$35:$B$39)</f>
        <v>0.0202020202020202</v>
      </c>
      <c r="D35" s="20" t="s">
        <v>198</v>
      </c>
    </row>
    <row r="36" customFormat="false" ht="30" hidden="false" customHeight="true" outlineLevel="0" collapsed="false">
      <c r="A36" s="18" t="s">
        <v>29</v>
      </c>
      <c r="B36" s="18" t="n">
        <f aca="false">COUNTIF('Keyword Master List'!$F$2:$F$100,A36)</f>
        <v>19</v>
      </c>
      <c r="C36" s="19" t="n">
        <f aca="false">B36/SUM($B$35:$B$39)</f>
        <v>0.191919191919192</v>
      </c>
      <c r="D36" s="20" t="s">
        <v>199</v>
      </c>
    </row>
    <row r="37" customFormat="false" ht="30" hidden="false" customHeight="true" outlineLevel="0" collapsed="false">
      <c r="A37" s="18" t="s">
        <v>85</v>
      </c>
      <c r="B37" s="18" t="n">
        <f aca="false">COUNTIF('Keyword Master List'!$F$2:$F$100,A37)</f>
        <v>1</v>
      </c>
      <c r="C37" s="19" t="n">
        <f aca="false">B37/SUM($B$35:$B$39)</f>
        <v>0.0101010101010101</v>
      </c>
      <c r="D37" s="20" t="s">
        <v>200</v>
      </c>
    </row>
    <row r="38" customFormat="false" ht="30" hidden="false" customHeight="true" outlineLevel="0" collapsed="false">
      <c r="A38" s="18" t="s">
        <v>60</v>
      </c>
      <c r="B38" s="18" t="n">
        <f aca="false">COUNTIF('Keyword Master List'!$F$2:$F$100,A38)</f>
        <v>29</v>
      </c>
      <c r="C38" s="19" t="n">
        <f aca="false">B38/SUM($B$35:$B$39)</f>
        <v>0.292929292929293</v>
      </c>
      <c r="D38" s="20" t="s">
        <v>201</v>
      </c>
    </row>
    <row r="39" customFormat="false" ht="30" hidden="false" customHeight="true" outlineLevel="0" collapsed="false">
      <c r="A39" s="18" t="s">
        <v>37</v>
      </c>
      <c r="B39" s="18" t="n">
        <f aca="false">COUNTIF('Keyword Master List'!$F$2:$F$100,A39)</f>
        <v>48</v>
      </c>
      <c r="C39" s="19" t="n">
        <f aca="false">B39/SUM($B$35:$B$39)</f>
        <v>0.484848484848485</v>
      </c>
      <c r="D39" s="20" t="s">
        <v>202</v>
      </c>
    </row>
    <row r="41" customFormat="false" ht="21.75" hidden="false" customHeight="true" outlineLevel="0" collapsed="false">
      <c r="A41" s="16" t="s">
        <v>203</v>
      </c>
      <c r="B41" s="16"/>
      <c r="C41" s="16"/>
      <c r="D41" s="16"/>
    </row>
    <row r="42" customFormat="false" ht="19.5" hidden="false" customHeight="true" outlineLevel="0" collapsed="false">
      <c r="A42" s="17" t="s">
        <v>23</v>
      </c>
      <c r="B42" s="17" t="s">
        <v>176</v>
      </c>
      <c r="C42" s="17" t="s">
        <v>177</v>
      </c>
      <c r="D42" s="17" t="s">
        <v>204</v>
      </c>
    </row>
    <row r="43" customFormat="false" ht="30" hidden="false" customHeight="true" outlineLevel="0" collapsed="false">
      <c r="A43" s="18" t="n">
        <v>1</v>
      </c>
      <c r="B43" s="18" t="n">
        <f aca="false">COUNTIF('Keyword Master List'!$J$2:$J$100,A43)</f>
        <v>44</v>
      </c>
      <c r="C43" s="19" t="n">
        <f aca="false">B43/SUM($B$43:$B$45)</f>
        <v>0.444444444444444</v>
      </c>
      <c r="D43" s="20" t="s">
        <v>205</v>
      </c>
    </row>
    <row r="44" customFormat="false" ht="30" hidden="false" customHeight="true" outlineLevel="0" collapsed="false">
      <c r="A44" s="18" t="n">
        <v>2</v>
      </c>
      <c r="B44" s="18" t="n">
        <f aca="false">COUNTIF('Keyword Master List'!$J$2:$J$100,A44)</f>
        <v>41</v>
      </c>
      <c r="C44" s="19" t="n">
        <f aca="false">B44/SUM($B$43:$B$45)</f>
        <v>0.414141414141414</v>
      </c>
      <c r="D44" s="20" t="s">
        <v>206</v>
      </c>
    </row>
    <row r="45" customFormat="false" ht="30" hidden="false" customHeight="true" outlineLevel="0" collapsed="false">
      <c r="A45" s="18" t="n">
        <v>3</v>
      </c>
      <c r="B45" s="18" t="n">
        <f aca="false">COUNTIF('Keyword Master List'!$J$2:$J$100,A45)</f>
        <v>14</v>
      </c>
      <c r="C45" s="19" t="n">
        <f aca="false">B45/SUM($B$43:$B$45)</f>
        <v>0.141414141414141</v>
      </c>
      <c r="D45" s="20" t="s">
        <v>207</v>
      </c>
    </row>
    <row r="47" customFormat="false" ht="21.75" hidden="false" customHeight="true" outlineLevel="0" collapsed="false">
      <c r="A47" s="16" t="s">
        <v>208</v>
      </c>
      <c r="B47" s="16"/>
      <c r="C47" s="16"/>
      <c r="D47" s="16"/>
    </row>
    <row r="48" customFormat="false" ht="19.5" hidden="false" customHeight="true" outlineLevel="0" collapsed="false">
      <c r="A48" s="17" t="s">
        <v>209</v>
      </c>
      <c r="B48" s="17" t="s">
        <v>210</v>
      </c>
      <c r="C48" s="17" t="s">
        <v>211</v>
      </c>
      <c r="D48" s="17"/>
    </row>
    <row r="49" customFormat="false" ht="15" hidden="false" customHeight="false" outlineLevel="0" collapsed="false">
      <c r="A49" s="18" t="s">
        <v>58</v>
      </c>
      <c r="B49" s="18" t="n">
        <f aca="false">SUMPRODUCT(--ISNUMBER(SEARCH("gold",'Keyword Master List'!$B$2:$B$100)))</f>
        <v>69</v>
      </c>
      <c r="C49" s="18" t="s">
        <v>212</v>
      </c>
    </row>
    <row r="50" customFormat="false" ht="15" hidden="false" customHeight="false" outlineLevel="0" collapsed="false">
      <c r="A50" s="18" t="s">
        <v>213</v>
      </c>
      <c r="B50" s="18" t="n">
        <f aca="false">SUMPRODUCT(--ISNUMBER(SEARCH("design",'Keyword Master List'!$B$2:$B$100)))</f>
        <v>19</v>
      </c>
      <c r="C50" s="18" t="s">
        <v>214</v>
      </c>
    </row>
    <row r="51" customFormat="false" ht="15" hidden="false" customHeight="false" outlineLevel="0" collapsed="false">
      <c r="A51" s="18" t="s">
        <v>215</v>
      </c>
      <c r="B51" s="18" t="n">
        <f aca="false">SUMPRODUCT(--ISNUMBER(SEARCH("sargodha",'Keyword Master List'!$B$2:$B$100)))</f>
        <v>15</v>
      </c>
      <c r="C51" s="18" t="s">
        <v>216</v>
      </c>
    </row>
    <row r="52" customFormat="false" ht="15" hidden="false" customHeight="false" outlineLevel="0" collapsed="false">
      <c r="A52" s="18" t="s">
        <v>217</v>
      </c>
      <c r="B52" s="21" t="s">
        <v>218</v>
      </c>
      <c r="C52" s="18" t="s">
        <v>219</v>
      </c>
    </row>
    <row r="53" customFormat="false" ht="15" hidden="false" customHeight="false" outlineLevel="0" collapsed="false">
      <c r="A53" s="18" t="s">
        <v>220</v>
      </c>
      <c r="B53" s="18" t="n">
        <f aca="false">SUMPRODUCT(--ISNUMBER(SEARCH("rate",'Keyword Master List'!$B$2:$B$100)))</f>
        <v>11</v>
      </c>
      <c r="C53" s="18" t="s">
        <v>221</v>
      </c>
    </row>
    <row r="54" customFormat="false" ht="15" hidden="false" customHeight="false" outlineLevel="0" collapsed="false">
      <c r="A54" s="18" t="s">
        <v>222</v>
      </c>
      <c r="B54" s="21" t="s">
        <v>218</v>
      </c>
      <c r="C54" s="18" t="s">
        <v>223</v>
      </c>
    </row>
    <row r="55" customFormat="false" ht="15" hidden="false" customHeight="false" outlineLevel="0" collapsed="false">
      <c r="A55" s="18" t="s">
        <v>224</v>
      </c>
      <c r="B55" s="21" t="s">
        <v>218</v>
      </c>
      <c r="C55" s="18" t="s">
        <v>225</v>
      </c>
    </row>
    <row r="56" customFormat="false" ht="15" hidden="false" customHeight="false" outlineLevel="0" collapsed="false">
      <c r="A56" s="18" t="s">
        <v>50</v>
      </c>
      <c r="B56" s="18" t="n">
        <f aca="false">SUMPRODUCT(--ISNUMBER(SEARCH("earrings",'Keyword Master List'!$B$2:$B$100)))</f>
        <v>9</v>
      </c>
      <c r="C56" s="18" t="s">
        <v>226</v>
      </c>
    </row>
    <row r="57" customFormat="false" ht="15" hidden="false" customHeight="false" outlineLevel="0" collapsed="false">
      <c r="A57" s="18" t="s">
        <v>227</v>
      </c>
      <c r="B57" s="18" t="n">
        <f aca="false">SUMPRODUCT(--ISNUMBER(SEARCH("bangles",'Keyword Master List'!$B$2:$B$100)))</f>
        <v>7</v>
      </c>
      <c r="C57" s="18" t="s">
        <v>226</v>
      </c>
    </row>
    <row r="58" customFormat="false" ht="15" hidden="false" customHeight="false" outlineLevel="0" collapsed="false">
      <c r="A58" s="18" t="s">
        <v>228</v>
      </c>
      <c r="B58" s="18" t="n">
        <f aca="false">SUMPRODUCT(--ISNUMBER(SEARCH("ring",'Keyword Master List'!$B$2:$B$100)))</f>
        <v>17</v>
      </c>
      <c r="C58" s="18" t="s">
        <v>226</v>
      </c>
    </row>
    <row r="60" customFormat="false" ht="45.75" hidden="false" customHeight="true" outlineLevel="0" collapsed="false">
      <c r="A60" s="22" t="s">
        <v>229</v>
      </c>
      <c r="B60" s="22"/>
      <c r="C60" s="22"/>
      <c r="D60" s="22"/>
    </row>
  </sheetData>
  <mergeCells count="9">
    <mergeCell ref="A1:D1"/>
    <mergeCell ref="A2:D2"/>
    <mergeCell ref="A4:D4"/>
    <mergeCell ref="A12:D12"/>
    <mergeCell ref="A28:D28"/>
    <mergeCell ref="A33:D33"/>
    <mergeCell ref="A41:D41"/>
    <mergeCell ref="A47:D47"/>
    <mergeCell ref="A60:D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 min="3" style="0" width="46"/>
    <col collapsed="false" customWidth="true" hidden="false" outlineLevel="0" max="4" min="4" style="0" width="40"/>
  </cols>
  <sheetData>
    <row r="1" customFormat="false" ht="18.55" hidden="false" customHeight="false" outlineLevel="0" collapsed="false">
      <c r="A1" s="14" t="s">
        <v>230</v>
      </c>
      <c r="B1" s="14"/>
      <c r="C1" s="14"/>
      <c r="D1" s="14"/>
    </row>
    <row r="2" customFormat="false" ht="15" hidden="false" customHeight="false" outlineLevel="0" collapsed="false">
      <c r="A2" s="15" t="s">
        <v>231</v>
      </c>
      <c r="B2" s="15"/>
      <c r="C2" s="15"/>
      <c r="D2" s="15"/>
    </row>
    <row r="4" customFormat="false" ht="19.5" hidden="false" customHeight="true" outlineLevel="0" collapsed="false">
      <c r="A4" s="17" t="s">
        <v>232</v>
      </c>
      <c r="B4" s="17" t="s">
        <v>233</v>
      </c>
      <c r="C4" s="17" t="s">
        <v>234</v>
      </c>
      <c r="D4" s="17" t="s">
        <v>16</v>
      </c>
    </row>
    <row r="5" customFormat="false" ht="60" hidden="false" customHeight="true" outlineLevel="0" collapsed="false">
      <c r="A5" s="23" t="s">
        <v>235</v>
      </c>
      <c r="B5" s="24" t="s">
        <v>236</v>
      </c>
      <c r="C5" s="20" t="s">
        <v>237</v>
      </c>
      <c r="D5" s="25" t="s">
        <v>238</v>
      </c>
    </row>
    <row r="6" customFormat="false" ht="60" hidden="false" customHeight="true" outlineLevel="0" collapsed="false">
      <c r="A6" s="23" t="s">
        <v>239</v>
      </c>
      <c r="B6" s="24" t="s">
        <v>240</v>
      </c>
      <c r="C6" s="20" t="s">
        <v>241</v>
      </c>
      <c r="D6" s="25" t="s">
        <v>242</v>
      </c>
    </row>
    <row r="7" customFormat="false" ht="60" hidden="false" customHeight="true" outlineLevel="0" collapsed="false">
      <c r="A7" s="23" t="s">
        <v>243</v>
      </c>
      <c r="B7" s="24" t="s">
        <v>244</v>
      </c>
      <c r="C7" s="20" t="s">
        <v>245</v>
      </c>
      <c r="D7" s="25" t="s">
        <v>246</v>
      </c>
    </row>
    <row r="8" customFormat="false" ht="60" hidden="false" customHeight="true" outlineLevel="0" collapsed="false">
      <c r="A8" s="23" t="s">
        <v>247</v>
      </c>
      <c r="B8" s="24" t="s">
        <v>248</v>
      </c>
      <c r="C8" s="20" t="s">
        <v>249</v>
      </c>
      <c r="D8" s="25" t="s">
        <v>246</v>
      </c>
    </row>
    <row r="9" customFormat="false" ht="60" hidden="false" customHeight="true" outlineLevel="0" collapsed="false">
      <c r="A9" s="23" t="s">
        <v>250</v>
      </c>
      <c r="B9" s="24" t="s">
        <v>251</v>
      </c>
      <c r="C9" s="20" t="s">
        <v>252</v>
      </c>
      <c r="D9" s="25" t="s">
        <v>253</v>
      </c>
    </row>
    <row r="10" customFormat="false" ht="60" hidden="false" customHeight="true" outlineLevel="0" collapsed="false">
      <c r="A10" s="23" t="s">
        <v>254</v>
      </c>
      <c r="B10" s="24" t="s">
        <v>255</v>
      </c>
      <c r="C10" s="20" t="s">
        <v>256</v>
      </c>
      <c r="D10" s="25" t="s">
        <v>257</v>
      </c>
    </row>
    <row r="11" customFormat="false" ht="60" hidden="false" customHeight="true" outlineLevel="0" collapsed="false">
      <c r="A11" s="23" t="s">
        <v>258</v>
      </c>
      <c r="B11" s="24" t="s">
        <v>259</v>
      </c>
      <c r="C11" s="20" t="s">
        <v>260</v>
      </c>
      <c r="D11" s="25" t="s">
        <v>261</v>
      </c>
    </row>
    <row r="12" customFormat="false" ht="60" hidden="false" customHeight="true" outlineLevel="0" collapsed="false">
      <c r="A12" s="23" t="s">
        <v>262</v>
      </c>
      <c r="B12" s="24" t="s">
        <v>263</v>
      </c>
      <c r="C12" s="20" t="s">
        <v>264</v>
      </c>
      <c r="D12" s="25" t="s">
        <v>265</v>
      </c>
    </row>
    <row r="13" customFormat="false" ht="60" hidden="false" customHeight="true" outlineLevel="0" collapsed="false">
      <c r="A13" s="23" t="s">
        <v>266</v>
      </c>
      <c r="B13" s="24" t="s">
        <v>267</v>
      </c>
      <c r="C13" s="20" t="s">
        <v>268</v>
      </c>
      <c r="D13" s="25" t="s">
        <v>269</v>
      </c>
    </row>
    <row r="14" customFormat="false" ht="60" hidden="false" customHeight="true" outlineLevel="0" collapsed="false">
      <c r="A14" s="23" t="s">
        <v>270</v>
      </c>
      <c r="B14" s="24" t="s">
        <v>271</v>
      </c>
      <c r="C14" s="20" t="s">
        <v>272</v>
      </c>
      <c r="D14" s="25" t="s">
        <v>273</v>
      </c>
    </row>
    <row r="15" customFormat="false" ht="60" hidden="false" customHeight="true" outlineLevel="0" collapsed="false">
      <c r="A15" s="23" t="s">
        <v>274</v>
      </c>
      <c r="B15" s="24" t="s">
        <v>275</v>
      </c>
      <c r="C15" s="20" t="s">
        <v>276</v>
      </c>
      <c r="D15" s="25" t="s">
        <v>277</v>
      </c>
    </row>
    <row r="16" customFormat="false" ht="60" hidden="false" customHeight="true" outlineLevel="0" collapsed="false">
      <c r="A16" s="23" t="s">
        <v>278</v>
      </c>
      <c r="B16" s="24" t="s">
        <v>279</v>
      </c>
      <c r="C16" s="20" t="s">
        <v>280</v>
      </c>
      <c r="D16" s="25" t="s">
        <v>281</v>
      </c>
    </row>
    <row r="17" customFormat="false" ht="60" hidden="false" customHeight="true" outlineLevel="0" collapsed="false">
      <c r="A17" s="23" t="s">
        <v>282</v>
      </c>
      <c r="B17" s="24" t="s">
        <v>283</v>
      </c>
      <c r="C17" s="20" t="s">
        <v>284</v>
      </c>
      <c r="D17" s="25" t="s">
        <v>281</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4" min="3" style="0" width="36"/>
  </cols>
  <sheetData>
    <row r="1" customFormat="false" ht="18.55" hidden="false" customHeight="false" outlineLevel="0" collapsed="false">
      <c r="A1" s="14" t="s">
        <v>285</v>
      </c>
      <c r="B1" s="14"/>
      <c r="C1" s="14"/>
      <c r="D1" s="14"/>
    </row>
    <row r="2" customFormat="false" ht="15" hidden="false" customHeight="false" outlineLevel="0" collapsed="false">
      <c r="A2" s="15" t="s">
        <v>286</v>
      </c>
      <c r="B2" s="15"/>
      <c r="C2" s="15"/>
      <c r="D2" s="15"/>
    </row>
    <row r="4" customFormat="false" ht="15" hidden="false" customHeight="false" outlineLevel="0" collapsed="false">
      <c r="A4" s="5" t="s">
        <v>287</v>
      </c>
      <c r="B4" s="5"/>
      <c r="C4" s="5"/>
      <c r="D4" s="5"/>
    </row>
    <row r="5" customFormat="false" ht="15" hidden="false" customHeight="false" outlineLevel="0" collapsed="false">
      <c r="A5" s="26" t="s">
        <v>288</v>
      </c>
      <c r="B5" s="26" t="s">
        <v>289</v>
      </c>
      <c r="C5" s="26" t="s">
        <v>290</v>
      </c>
      <c r="D5" s="26"/>
    </row>
    <row r="6" customFormat="false" ht="39.75" hidden="false" customHeight="true" outlineLevel="0" collapsed="false">
      <c r="A6" s="27" t="s">
        <v>61</v>
      </c>
      <c r="B6" s="28" t="s">
        <v>291</v>
      </c>
      <c r="C6" s="28" t="s">
        <v>292</v>
      </c>
    </row>
    <row r="7" customFormat="false" ht="39.75" hidden="false" customHeight="true" outlineLevel="0" collapsed="false">
      <c r="A7" s="27" t="s">
        <v>108</v>
      </c>
      <c r="B7" s="28" t="s">
        <v>293</v>
      </c>
      <c r="C7" s="28" t="s">
        <v>294</v>
      </c>
    </row>
    <row r="8" customFormat="false" ht="39.75" hidden="false" customHeight="true" outlineLevel="0" collapsed="false">
      <c r="A8" s="27" t="s">
        <v>112</v>
      </c>
      <c r="B8" s="28" t="s">
        <v>295</v>
      </c>
      <c r="C8" s="28" t="s">
        <v>296</v>
      </c>
    </row>
    <row r="9" customFormat="false" ht="39.75" hidden="false" customHeight="true" outlineLevel="0" collapsed="false">
      <c r="A9" s="27" t="s">
        <v>156</v>
      </c>
      <c r="B9" s="28" t="s">
        <v>297</v>
      </c>
      <c r="C9" s="28" t="s">
        <v>294</v>
      </c>
    </row>
    <row r="10" customFormat="false" ht="39.75" hidden="false" customHeight="true" outlineLevel="0" collapsed="false">
      <c r="A10" s="27" t="s">
        <v>39</v>
      </c>
      <c r="B10" s="28" t="s">
        <v>298</v>
      </c>
      <c r="C10" s="28" t="s">
        <v>299</v>
      </c>
    </row>
    <row r="11" customFormat="false" ht="39.75" hidden="false" customHeight="true" outlineLevel="0" collapsed="false">
      <c r="A11" s="27" t="s">
        <v>300</v>
      </c>
      <c r="B11" s="28" t="s">
        <v>301</v>
      </c>
      <c r="C11" s="28" t="s">
        <v>302</v>
      </c>
    </row>
    <row r="12" customFormat="false" ht="39.75" hidden="false" customHeight="true" outlineLevel="0" collapsed="false">
      <c r="A12" s="27" t="s">
        <v>45</v>
      </c>
      <c r="B12" s="28" t="s">
        <v>303</v>
      </c>
      <c r="C12" s="28" t="s">
        <v>304</v>
      </c>
    </row>
    <row r="14" customFormat="false" ht="15" hidden="false" customHeight="false" outlineLevel="0" collapsed="false">
      <c r="A14" s="5" t="s">
        <v>305</v>
      </c>
      <c r="B14" s="5"/>
      <c r="C14" s="5"/>
      <c r="D14" s="5"/>
    </row>
    <row r="15" customFormat="false" ht="15" hidden="false" customHeight="false" outlineLevel="0" collapsed="false">
      <c r="A15" s="26" t="s">
        <v>306</v>
      </c>
      <c r="B15" s="26" t="s">
        <v>307</v>
      </c>
      <c r="C15" s="26" t="s">
        <v>308</v>
      </c>
      <c r="D15" s="26"/>
    </row>
    <row r="16" customFormat="false" ht="49.5" hidden="false" customHeight="true" outlineLevel="0" collapsed="false">
      <c r="A16" s="29" t="s">
        <v>309</v>
      </c>
      <c r="B16" s="30" t="s">
        <v>310</v>
      </c>
      <c r="C16" s="30" t="s">
        <v>311</v>
      </c>
    </row>
    <row r="17" customFormat="false" ht="49.5" hidden="false" customHeight="true" outlineLevel="0" collapsed="false">
      <c r="A17" s="29" t="s">
        <v>312</v>
      </c>
      <c r="B17" s="30" t="s">
        <v>313</v>
      </c>
      <c r="C17" s="30" t="s">
        <v>314</v>
      </c>
    </row>
    <row r="18" customFormat="false" ht="49.5" hidden="false" customHeight="true" outlineLevel="0" collapsed="false">
      <c r="A18" s="29" t="s">
        <v>315</v>
      </c>
      <c r="B18" s="30" t="s">
        <v>316</v>
      </c>
      <c r="C18" s="30" t="s">
        <v>317</v>
      </c>
    </row>
    <row r="19" customFormat="false" ht="49.5" hidden="false" customHeight="true" outlineLevel="0" collapsed="false">
      <c r="A19" s="29" t="s">
        <v>318</v>
      </c>
      <c r="B19" s="30" t="s">
        <v>319</v>
      </c>
      <c r="C19" s="30" t="s">
        <v>320</v>
      </c>
    </row>
    <row r="20" customFormat="false" ht="49.5" hidden="false" customHeight="true" outlineLevel="0" collapsed="false">
      <c r="A20" s="29" t="s">
        <v>321</v>
      </c>
      <c r="B20" s="30" t="s">
        <v>322</v>
      </c>
      <c r="C20" s="30" t="s">
        <v>323</v>
      </c>
    </row>
    <row r="22" customFormat="false" ht="15" hidden="false" customHeight="false" outlineLevel="0" collapsed="false">
      <c r="A22" s="5" t="s">
        <v>324</v>
      </c>
      <c r="B22" s="5"/>
      <c r="C22" s="5"/>
      <c r="D22" s="5"/>
    </row>
    <row r="23" customFormat="false" ht="30" hidden="false" customHeight="true" outlineLevel="0" collapsed="false">
      <c r="A23" s="31" t="s">
        <v>325</v>
      </c>
      <c r="B23" s="31"/>
      <c r="C23" s="31"/>
      <c r="D23" s="31"/>
    </row>
    <row r="24" customFormat="false" ht="30" hidden="false" customHeight="true" outlineLevel="0" collapsed="false">
      <c r="A24" s="31" t="s">
        <v>326</v>
      </c>
      <c r="B24" s="31"/>
      <c r="C24" s="31"/>
      <c r="D24" s="31"/>
    </row>
    <row r="25" customFormat="false" ht="30" hidden="false" customHeight="true" outlineLevel="0" collapsed="false">
      <c r="A25" s="31" t="s">
        <v>327</v>
      </c>
      <c r="B25" s="31"/>
      <c r="C25" s="31"/>
      <c r="D25" s="31"/>
    </row>
    <row r="26" customFormat="false" ht="30" hidden="false" customHeight="true" outlineLevel="0" collapsed="false">
      <c r="A26" s="31" t="s">
        <v>328</v>
      </c>
      <c r="B26" s="31"/>
      <c r="C26" s="31"/>
      <c r="D26" s="31"/>
    </row>
    <row r="27" customFormat="false" ht="30" hidden="false" customHeight="true" outlineLevel="0" collapsed="false">
      <c r="A27" s="31" t="s">
        <v>329</v>
      </c>
      <c r="B27" s="31"/>
      <c r="C27" s="31"/>
      <c r="D27" s="31"/>
    </row>
    <row r="28" customFormat="false" ht="30" hidden="false" customHeight="true" outlineLevel="0" collapsed="false">
      <c r="A28" s="31" t="s">
        <v>330</v>
      </c>
      <c r="B28" s="31"/>
      <c r="C28" s="31"/>
      <c r="D28" s="31"/>
    </row>
  </sheetData>
  <mergeCells count="11">
    <mergeCell ref="A1:D1"/>
    <mergeCell ref="A2:D2"/>
    <mergeCell ref="A4:D4"/>
    <mergeCell ref="A14:D14"/>
    <mergeCell ref="A22:D22"/>
    <mergeCell ref="A23:D23"/>
    <mergeCell ref="A24:D24"/>
    <mergeCell ref="A25:D25"/>
    <mergeCell ref="A26:D26"/>
    <mergeCell ref="A27:D27"/>
    <mergeCell ref="A28:D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2026-07-22T22:27:18Z</dcterms:created>
  <dc:creator>openpyxl</dc:creator>
  <dc:description/>
  <dc:language>en-US</dc:language>
  <cp:lastModifiedBy/>
  <dcterms:modified xsi:type="dcterms:W3CDTF">2026-07-22T22:30:31Z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